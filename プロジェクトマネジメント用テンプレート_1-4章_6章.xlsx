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使い方" sheetId="1" state="visible" r:id="rId3"/>
    <sheet name="①プロジェクト概要" sheetId="2" state="visible" r:id="rId4"/>
    <sheet name="②3大制約条件バランス" sheetId="3" state="visible" r:id="rId5"/>
    <sheet name="③ステークホルダー登録簿" sheetId="4" state="visible" r:id="rId6"/>
    <sheet name="④チーム協働環境" sheetId="5" state="visible" r:id="rId7"/>
    <sheet name="⑤WBS・タスク管理" sheetId="6" state="visible" r:id="rId8"/>
    <sheet name="⑥品質管理" sheetId="7" state="visible" r:id="rId9"/>
    <sheet name="⑦リスク・複雑さ管理" sheetId="8" state="visible" r:id="rId10"/>
    <sheet name="⑧変更管理ログ" sheetId="9" state="visible" r:id="rId11"/>
    <sheet name="⑨情報の流れ（報告設計）" sheetId="10" state="visible" r:id="rId12"/>
    <sheet name="⑩12の原理原則セルフチェック" sheetId="11" state="visible" r:id="rId13"/>
    <sheet name="⑪組織のプロセス資産" sheetId="12" state="visible" r:id="rId14"/>
    <sheet name="⑫ステークホルダーエンゲージメント分析" sheetId="13" state="visible" r:id="rId15"/>
    <sheet name="⑬チームパフォーマンス管理" sheetId="14" state="visible" r:id="rId16"/>
    <sheet name="⑭開発アプローチ選定" sheetId="15" state="visible" r:id="rId17"/>
    <sheet name="⑮見積り・予備費管理" sheetId="16" state="visible" r:id="rId18"/>
    <sheet name="⑯プロジェクト作業・調達管理" sheetId="17" state="visible" r:id="rId19"/>
    <sheet name="⑰品質コスト管理" sheetId="18" state="visible" r:id="rId20"/>
    <sheet name="⑱測定ダッシュボード" sheetId="19" state="visible" r:id="rId21"/>
    <sheet name="⑲不確かさ対応ログ" sheetId="20" state="visible" r:id="rId22"/>
    <sheet name="⑳テーラリング属性チェックリスト" sheetId="21" state="visible" r:id="rId23"/>
    <sheet name="㉑リーダーシップ・変革マネジメント" sheetId="22" state="visible" r:id="rId24"/>
    <sheet name="㉒分析手法・成果物管理" sheetId="23" state="visible" r:id="rId2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<sst xmlns="http://schemas.openxmlformats.org/spreadsheetml/2006/main" count="688" uniqueCount="626">
  <si>
    <t xml:space="preserve">プロジェクトマネジメント用テンプレート</t>
  </si>
  <si>
    <r>
      <rPr>
        <i val="true"/>
        <sz val="11"/>
        <color rgb="FF555555"/>
        <rFont val="Arial"/>
        <family val="0"/>
        <charset val="1"/>
      </rPr>
      <t xml:space="preserve">PMBOK Guide</t>
    </r>
    <r>
      <rPr>
        <i val="true"/>
        <sz val="11"/>
        <color rgb="FF555555"/>
        <rFont val="Noto Sans CJK SC"/>
        <family val="2"/>
      </rPr>
      <t xml:space="preserve">（第</t>
    </r>
    <r>
      <rPr>
        <i val="true"/>
        <sz val="11"/>
        <color rgb="FF555555"/>
        <rFont val="Arial"/>
        <family val="0"/>
        <charset val="1"/>
      </rPr>
      <t xml:space="preserve">1</t>
    </r>
    <r>
      <rPr>
        <i val="true"/>
        <sz val="11"/>
        <color rgb="FF555555"/>
        <rFont val="Noto Sans CJK SC"/>
        <family val="2"/>
      </rPr>
      <t xml:space="preserve">〜</t>
    </r>
    <r>
      <rPr>
        <i val="true"/>
        <sz val="11"/>
        <color rgb="FF555555"/>
        <rFont val="Arial"/>
        <family val="0"/>
        <charset val="1"/>
      </rPr>
      <t xml:space="preserve">4</t>
    </r>
    <r>
      <rPr>
        <i val="true"/>
        <sz val="11"/>
        <color rgb="FF555555"/>
        <rFont val="Noto Sans CJK SC"/>
        <family val="2"/>
      </rPr>
      <t xml:space="preserve">章：</t>
    </r>
    <r>
      <rPr>
        <i val="true"/>
        <sz val="11"/>
        <color rgb="FF555555"/>
        <rFont val="Arial"/>
        <family val="0"/>
        <charset val="1"/>
      </rPr>
      <t xml:space="preserve">8</t>
    </r>
    <r>
      <rPr>
        <i val="true"/>
        <sz val="11"/>
        <color rgb="FF555555"/>
        <rFont val="Noto Sans CJK SC"/>
        <family val="2"/>
      </rPr>
      <t xml:space="preserve">つのパフォーマンス領域を含む）の考え方をベースにした実務テンプレート集</t>
    </r>
  </si>
  <si>
    <t xml:space="preserve">■ このテンプレートの使い方</t>
  </si>
  <si>
    <t xml:space="preserve">黄色セル</t>
  </si>
  <si>
    <t xml:space="preserve">ユーザーが入力する項目です。プロジェクトの状況に合わせて書き換えてください。</t>
  </si>
  <si>
    <t xml:space="preserve">白セル（数式）</t>
  </si>
  <si>
    <t xml:space="preserve">自動計算される項目です。基本的に編集不要です。</t>
  </si>
  <si>
    <t xml:space="preserve">進め方</t>
  </si>
  <si>
    <t xml:space="preserve">① プロジェクト概要 → ② 3大制約条件 → ③ ステークホルダー登録簿 → ④ チーム協働環境 → ⑤ WBS・タスク管理 → ⑥ 品質管理 → ⑦ リスク・複雑さ管理 → ⑧ 変更管理ログ → ⑨ 情報の流れ（報告設計） → ⑩ 12の原理原則セルフチェック → ⑪ 組織のプロセス資産 の順に埋めると、PMBOKの考え方に沿って抜け漏れなく計画できます。</t>
  </si>
  <si>
    <t xml:space="preserve">■ シート構成</t>
  </si>
  <si>
    <t xml:space="preserve">① プロジェクト概要</t>
  </si>
  <si>
    <t xml:space="preserve">プロジェクトの基本情報（3大制約条件：QCD含む）を定義する憲章シート</t>
  </si>
  <si>
    <r>
      <rPr>
        <b val="true"/>
        <sz val="10"/>
        <rFont val="Arial"/>
        <family val="0"/>
        <charset val="1"/>
      </rPr>
      <t xml:space="preserve">② 3</t>
    </r>
    <r>
      <rPr>
        <b val="true"/>
        <sz val="10"/>
        <rFont val="Noto Sans CJK SC"/>
        <family val="2"/>
      </rPr>
      <t xml:space="preserve">大制約条件バランス</t>
    </r>
  </si>
  <si>
    <t xml:space="preserve">スケジュール・スコープ・コストの目標値と優先順位を明確にする</t>
  </si>
  <si>
    <t xml:space="preserve">③ ステークホルダー登録簿</t>
  </si>
  <si>
    <t xml:space="preserve">ステークホルダーの種類・関与度・エンゲージメント方法を管理する</t>
  </si>
  <si>
    <t xml:space="preserve">④ チーム協働環境</t>
  </si>
  <si>
    <t xml:space="preserve">チームの合意・組織構造・プロセスの3要素を定義する</t>
  </si>
  <si>
    <r>
      <rPr>
        <b val="true"/>
        <sz val="10"/>
        <rFont val="Arial"/>
        <family val="0"/>
        <charset val="1"/>
      </rPr>
      <t xml:space="preserve">⑤ WBS</t>
    </r>
    <r>
      <rPr>
        <b val="true"/>
        <sz val="10"/>
        <rFont val="Noto Sans CJK SC"/>
        <family val="2"/>
      </rPr>
      <t xml:space="preserve">・タスク管理</t>
    </r>
  </si>
  <si>
    <t xml:space="preserve">作業分解構成図（WBS）ベースのタスク進捗管理</t>
  </si>
  <si>
    <t xml:space="preserve">⑥ 品質管理</t>
  </si>
  <si>
    <t xml:space="preserve">成果物品質とプロジェクト品質のチェックリスト</t>
  </si>
  <si>
    <t xml:space="preserve">⑦ リスク・複雑さ管理</t>
  </si>
  <si>
    <t xml:space="preserve">複雑さ要因の評価とリスク登録簿</t>
  </si>
  <si>
    <t xml:space="preserve">⑧ 変更管理ログ</t>
  </si>
  <si>
    <t xml:space="preserve">チェンジマネジメント4ステップと変更履歴</t>
  </si>
  <si>
    <t xml:space="preserve">⑨ 情報の流れ（報告設計）</t>
  </si>
  <si>
    <t xml:space="preserve">上級管理職〜定常業務までの報告ルートと頻度の設計</t>
  </si>
  <si>
    <r>
      <rPr>
        <b val="true"/>
        <sz val="10"/>
        <rFont val="Arial"/>
        <family val="0"/>
        <charset val="1"/>
      </rPr>
      <t xml:space="preserve">⑩ 12</t>
    </r>
    <r>
      <rPr>
        <b val="true"/>
        <sz val="10"/>
        <rFont val="Noto Sans CJK SC"/>
        <family val="2"/>
      </rPr>
      <t xml:space="preserve">の原理原則セルフチェック</t>
    </r>
  </si>
  <si>
    <r>
      <rPr>
        <sz val="10"/>
        <rFont val="Arial"/>
        <family val="0"/>
        <charset val="1"/>
      </rPr>
      <t xml:space="preserve">PMBOK</t>
    </r>
    <r>
      <rPr>
        <sz val="10"/>
        <rFont val="Noto Sans CJK SC"/>
        <family val="2"/>
      </rPr>
      <t xml:space="preserve">の</t>
    </r>
    <r>
      <rPr>
        <sz val="10"/>
        <rFont val="Arial"/>
        <family val="0"/>
        <charset val="1"/>
      </rPr>
      <t xml:space="preserve">12</t>
    </r>
    <r>
      <rPr>
        <sz val="10"/>
        <rFont val="Noto Sans CJK SC"/>
        <family val="2"/>
      </rPr>
      <t xml:space="preserve">の原理・原則に対する実践度の自己評価</t>
    </r>
  </si>
  <si>
    <t xml:space="preserve">⑪ 組織のプロセス資産</t>
  </si>
  <si>
    <t xml:space="preserve">活用できる社内テンプレート・過去実績などの棚卸し</t>
  </si>
  <si>
    <t xml:space="preserve">■ シート構成（4章：8つのパフォーマンス領域 追加分）</t>
  </si>
  <si>
    <t xml:space="preserve">⑫ ステークホルダーエンゲージメント分析</t>
  </si>
  <si>
    <t xml:space="preserve">セイリエンスモデル・権力関心度グリッド・関与度評価マトリックス（現在C/望まれるD）を統合したステークホルダー分析シート</t>
  </si>
  <si>
    <t xml:space="preserve">⑬ チームパフォーマンス管理</t>
  </si>
  <si>
    <t xml:space="preserve">パフォーマンスの高いチームの要素セルフチェック、動機付け（外発的/内発的）、コンフリクトログ（5つのアプローチ）</t>
  </si>
  <si>
    <t xml:space="preserve">⑭ 開発アプローチ選定</t>
  </si>
  <si>
    <r>
      <rPr>
        <sz val="10"/>
        <rFont val="Arial"/>
        <family val="0"/>
        <charset val="1"/>
      </rPr>
      <t xml:space="preserve">3</t>
    </r>
    <r>
      <rPr>
        <sz val="10"/>
        <rFont val="Noto Sans CJK SC"/>
        <family val="2"/>
      </rPr>
      <t xml:space="preserve">カテゴリー（プロジェクト</t>
    </r>
    <r>
      <rPr>
        <sz val="10"/>
        <rFont val="Arial"/>
        <family val="0"/>
        <charset val="1"/>
      </rPr>
      <t xml:space="preserve">/</t>
    </r>
    <r>
      <rPr>
        <sz val="10"/>
        <rFont val="Noto Sans CJK SC"/>
        <family val="2"/>
      </rPr>
      <t xml:space="preserve">成果物</t>
    </r>
    <r>
      <rPr>
        <sz val="10"/>
        <rFont val="Arial"/>
        <family val="0"/>
        <charset val="1"/>
      </rPr>
      <t xml:space="preserve">/</t>
    </r>
    <r>
      <rPr>
        <sz val="10"/>
        <rFont val="Noto Sans CJK SC"/>
        <family val="2"/>
      </rPr>
      <t xml:space="preserve">組織）の要因評価から、予測型・適応型・ハイブリッド型を自動判定</t>
    </r>
  </si>
  <si>
    <t xml:space="preserve">⑮ 見積り・予備費管理</t>
  </si>
  <si>
    <t xml:space="preserve">見積り手法の選択、コンティンジェンシー予備／マネジメント予備の管理（コストベースライン・総予算を自動計算）</t>
  </si>
  <si>
    <t xml:space="preserve">⑯ プロジェクト作業・調達管理</t>
  </si>
  <si>
    <t xml:space="preserve">プロセス改善ログ（リーン生産方式・レトロスペクティブ）、調達プロセスの進捗管理</t>
  </si>
  <si>
    <t xml:space="preserve">⑰ 品質コスト管理</t>
  </si>
  <si>
    <t xml:space="preserve">品質コスト（適合コスト：予防/評価、不適合コスト：内部不良/外部不良）の集計と比率分析</t>
  </si>
  <si>
    <t xml:space="preserve">⑱ 測定ダッシュボード</t>
  </si>
  <si>
    <r>
      <rPr>
        <sz val="10"/>
        <rFont val="Arial"/>
        <family val="0"/>
        <charset val="1"/>
      </rPr>
      <t xml:space="preserve">KPI</t>
    </r>
    <r>
      <rPr>
        <sz val="10"/>
        <rFont val="Noto Sans CJK SC"/>
        <family val="2"/>
      </rPr>
      <t xml:space="preserve">一覧（先行指標</t>
    </r>
    <r>
      <rPr>
        <sz val="10"/>
        <rFont val="Arial"/>
        <family val="0"/>
        <charset val="1"/>
      </rPr>
      <t xml:space="preserve">/</t>
    </r>
    <r>
      <rPr>
        <sz val="10"/>
        <rFont val="Noto Sans CJK SC"/>
        <family val="2"/>
      </rPr>
      <t xml:space="preserve">遅行指標）、</t>
    </r>
    <r>
      <rPr>
        <sz val="10"/>
        <rFont val="Arial"/>
        <family val="0"/>
        <charset val="1"/>
      </rPr>
      <t xml:space="preserve">SMART</t>
    </r>
    <r>
      <rPr>
        <sz val="10"/>
        <rFont val="Noto Sans CJK SC"/>
        <family val="2"/>
      </rPr>
      <t xml:space="preserve">基準チェック、事業価値の尺度（</t>
    </r>
    <r>
      <rPr>
        <sz val="10"/>
        <rFont val="Arial"/>
        <family val="0"/>
        <charset val="1"/>
      </rPr>
      <t xml:space="preserve">BCR</t>
    </r>
    <r>
      <rPr>
        <sz val="10"/>
        <rFont val="Noto Sans CJK SC"/>
        <family val="2"/>
      </rPr>
      <t xml:space="preserve">・</t>
    </r>
    <r>
      <rPr>
        <sz val="10"/>
        <rFont val="Arial"/>
        <family val="0"/>
        <charset val="1"/>
      </rPr>
      <t xml:space="preserve">ROI</t>
    </r>
    <r>
      <rPr>
        <sz val="10"/>
        <rFont val="Noto Sans CJK SC"/>
        <family val="2"/>
      </rPr>
      <t xml:space="preserve">・</t>
    </r>
    <r>
      <rPr>
        <sz val="10"/>
        <rFont val="Arial"/>
        <family val="0"/>
        <charset val="1"/>
      </rPr>
      <t xml:space="preserve">NPV</t>
    </r>
    <r>
      <rPr>
        <sz val="10"/>
        <rFont val="Noto Sans CJK SC"/>
        <family val="2"/>
      </rPr>
      <t xml:space="preserve">）の自動計算</t>
    </r>
  </si>
  <si>
    <t xml:space="preserve">⑲ 不確かさ対応ログ</t>
  </si>
  <si>
    <t xml:space="preserve">不確かさ・曖昧さ（概念的/状況的）・複雑さ（人/システム/技術革新）への対応記録</t>
  </si>
  <si>
    <r>
      <rPr>
        <b val="true"/>
        <sz val="10"/>
        <rFont val="Noto Sans CJK SC"/>
        <family val="2"/>
      </rPr>
      <t xml:space="preserve">■ シート構成（</t>
    </r>
    <r>
      <rPr>
        <b val="true"/>
        <sz val="10"/>
        <rFont val="Arial"/>
        <family val="0"/>
        <charset val="1"/>
      </rPr>
      <t xml:space="preserve">5</t>
    </r>
    <r>
      <rPr>
        <b val="true"/>
        <sz val="10"/>
        <rFont val="Noto Sans CJK SC"/>
        <family val="2"/>
      </rPr>
      <t xml:space="preserve">章：テーラリング／モデル・方法・作成物 追加分）</t>
    </r>
  </si>
  <si>
    <t xml:space="preserve">⑳ テーラリング属性チェックリスト</t>
  </si>
  <si>
    <r>
      <rPr>
        <sz val="10"/>
        <rFont val="Noto Sans CJK SC"/>
        <family val="2"/>
      </rPr>
      <t xml:space="preserve">テーラリング</t>
    </r>
    <r>
      <rPr>
        <sz val="10"/>
        <rFont val="Arial"/>
        <family val="0"/>
        <charset val="1"/>
      </rPr>
      <t xml:space="preserve">4</t>
    </r>
    <r>
      <rPr>
        <sz val="10"/>
        <rFont val="Noto Sans CJK SC"/>
        <family val="2"/>
      </rPr>
      <t xml:space="preserve">対象（プロセス</t>
    </r>
    <r>
      <rPr>
        <sz val="10"/>
        <rFont val="Arial"/>
        <family val="0"/>
        <charset val="1"/>
      </rPr>
      <t xml:space="preserve">/</t>
    </r>
    <r>
      <rPr>
        <sz val="10"/>
        <rFont val="Noto Sans CJK SC"/>
        <family val="2"/>
      </rPr>
      <t xml:space="preserve">開発アプローチ</t>
    </r>
    <r>
      <rPr>
        <sz val="10"/>
        <rFont val="Arial"/>
        <family val="0"/>
        <charset val="1"/>
      </rPr>
      <t xml:space="preserve">/</t>
    </r>
    <r>
      <rPr>
        <sz val="10"/>
        <rFont val="Noto Sans CJK SC"/>
        <family val="2"/>
      </rPr>
      <t xml:space="preserve">人のエンゲージメント</t>
    </r>
    <r>
      <rPr>
        <sz val="10"/>
        <rFont val="Arial"/>
        <family val="0"/>
        <charset val="1"/>
      </rPr>
      <t xml:space="preserve">/</t>
    </r>
    <r>
      <rPr>
        <sz val="10"/>
        <rFont val="Noto Sans CJK SC"/>
        <family val="2"/>
      </rPr>
      <t xml:space="preserve">ツール）の検討状況と、プロダクト・成果物</t>
    </r>
    <r>
      <rPr>
        <sz val="10"/>
        <rFont val="Arial"/>
        <family val="0"/>
        <charset val="1"/>
      </rPr>
      <t xml:space="preserve">/</t>
    </r>
    <r>
      <rPr>
        <sz val="10"/>
        <rFont val="Noto Sans CJK SC"/>
        <family val="2"/>
      </rPr>
      <t xml:space="preserve">チーム</t>
    </r>
    <r>
      <rPr>
        <sz val="10"/>
        <rFont val="Arial"/>
        <family val="0"/>
        <charset val="1"/>
      </rPr>
      <t xml:space="preserve">/</t>
    </r>
    <r>
      <rPr>
        <sz val="10"/>
        <rFont val="Noto Sans CJK SC"/>
        <family val="2"/>
      </rPr>
      <t xml:space="preserve">文化の</t>
    </r>
    <r>
      <rPr>
        <sz val="10"/>
        <rFont val="Arial"/>
        <family val="0"/>
        <charset val="1"/>
      </rPr>
      <t xml:space="preserve">17</t>
    </r>
    <r>
      <rPr>
        <sz val="10"/>
        <rFont val="Noto Sans CJK SC"/>
        <family val="2"/>
      </rPr>
      <t xml:space="preserve">属性を確認し、継続的な改善ログを記録</t>
    </r>
  </si>
  <si>
    <t xml:space="preserve">㉑ リーダーシップ・変革マネジメント</t>
  </si>
  <si>
    <r>
      <rPr>
        <sz val="10"/>
        <rFont val="Arial"/>
        <family val="0"/>
        <charset val="1"/>
      </rPr>
      <t xml:space="preserve">SLII</t>
    </r>
    <r>
      <rPr>
        <sz val="10"/>
        <rFont val="Noto Sans CJK SC"/>
        <family val="2"/>
      </rPr>
      <t xml:space="preserve">（メンバー別スタイル自動判定）、</t>
    </r>
    <r>
      <rPr>
        <sz val="10"/>
        <rFont val="Arial"/>
        <family val="0"/>
        <charset val="1"/>
      </rPr>
      <t xml:space="preserve">OSCAR</t>
    </r>
    <r>
      <rPr>
        <sz val="10"/>
        <rFont val="Noto Sans CJK SC"/>
        <family val="2"/>
      </rPr>
      <t xml:space="preserve">コーチング計画、</t>
    </r>
    <r>
      <rPr>
        <sz val="10"/>
        <rFont val="Arial"/>
        <family val="0"/>
        <charset val="1"/>
      </rPr>
      <t xml:space="preserve">ADKAR</t>
    </r>
    <r>
      <rPr>
        <sz val="10"/>
        <rFont val="Noto Sans CJK SC"/>
        <family val="2"/>
      </rPr>
      <t xml:space="preserve">変革レディネス評価、コッターの</t>
    </r>
    <r>
      <rPr>
        <sz val="10"/>
        <rFont val="Arial"/>
        <family val="0"/>
        <charset val="1"/>
      </rPr>
      <t xml:space="preserve">8</t>
    </r>
    <r>
      <rPr>
        <sz val="10"/>
        <rFont val="Noto Sans CJK SC"/>
        <family val="2"/>
      </rPr>
      <t xml:space="preserve">段階トラッカー、ステイシーマトリックス簡易判定（開発アプローチ選定の参考に）</t>
    </r>
  </si>
  <si>
    <t xml:space="preserve">㉒ 分析手法・成果物管理</t>
  </si>
  <si>
    <r>
      <rPr>
        <sz val="10"/>
        <rFont val="Noto Sans CJK SC"/>
        <family val="2"/>
      </rPr>
      <t xml:space="preserve">分析方法（内外製</t>
    </r>
    <r>
      <rPr>
        <sz val="10"/>
        <rFont val="Arial"/>
        <family val="0"/>
        <charset val="1"/>
      </rPr>
      <t xml:space="preserve">/</t>
    </r>
    <r>
      <rPr>
        <sz val="10"/>
        <rFont val="Noto Sans CJK SC"/>
        <family val="2"/>
      </rPr>
      <t xml:space="preserve">根本原因</t>
    </r>
    <r>
      <rPr>
        <sz val="10"/>
        <rFont val="Arial"/>
        <family val="0"/>
        <charset val="1"/>
      </rPr>
      <t xml:space="preserve">/SWOT/</t>
    </r>
    <r>
      <rPr>
        <sz val="10"/>
        <rFont val="Noto Sans CJK SC"/>
        <family val="2"/>
      </rPr>
      <t xml:space="preserve">傾向</t>
    </r>
    <r>
      <rPr>
        <sz val="10"/>
        <rFont val="Arial"/>
        <family val="0"/>
        <charset val="1"/>
      </rPr>
      <t xml:space="preserve">/</t>
    </r>
    <r>
      <rPr>
        <sz val="10"/>
        <rFont val="Noto Sans CJK SC"/>
        <family val="2"/>
      </rPr>
      <t xml:space="preserve">差異）の実施ログ、アジャイルセレモニーの実施状況、主要作成物とプロジェクトマネジメント計画書の整備状況チェック（整備率を自動計算）</t>
    </r>
  </si>
  <si>
    <t xml:space="preserve">プロジェクト概要（プロジェクト憲章）</t>
  </si>
  <si>
    <t xml:space="preserve">プロジェクト名</t>
  </si>
  <si>
    <t xml:space="preserve">プロジェクトマネジャー</t>
  </si>
  <si>
    <t xml:space="preserve">スポンサー / 上級管理職</t>
  </si>
  <si>
    <t xml:space="preserve">開始日</t>
  </si>
  <si>
    <t xml:space="preserve">完了予定日</t>
  </si>
  <si>
    <t xml:space="preserve">目的・提供する価値（原理④価値）</t>
  </si>
  <si>
    <t xml:space="preserve">成果物（スコープ概要）</t>
  </si>
  <si>
    <t xml:space="preserve">成功基準 / 受入基準（原理⑧品質）</t>
  </si>
  <si>
    <r>
      <rPr>
        <b val="true"/>
        <sz val="10"/>
        <color rgb="FFFFFFFF"/>
        <rFont val="Arial"/>
        <family val="0"/>
        <charset val="1"/>
      </rPr>
      <t xml:space="preserve">■ 3</t>
    </r>
    <r>
      <rPr>
        <b val="true"/>
        <sz val="10"/>
        <color rgb="FFFFFFFF"/>
        <rFont val="Noto Sans CJK SC"/>
        <family val="2"/>
      </rPr>
      <t xml:space="preserve">大制約条件（</t>
    </r>
    <r>
      <rPr>
        <b val="true"/>
        <sz val="10"/>
        <color rgb="FFFFFFFF"/>
        <rFont val="Arial"/>
        <family val="0"/>
        <charset val="1"/>
      </rPr>
      <t xml:space="preserve">QCD</t>
    </r>
    <r>
      <rPr>
        <b val="true"/>
        <sz val="10"/>
        <color rgb="FFFFFFFF"/>
        <rFont val="Noto Sans CJK SC"/>
        <family val="2"/>
      </rPr>
      <t xml:space="preserve">）優先順位</t>
    </r>
  </si>
  <si>
    <t xml:space="preserve">※ 開発アプローチによって重視すべき要素は変わります。1（最優先）〜3を割り当ててください。詳細は「②3大制約条件バランス」シートへ。</t>
  </si>
  <si>
    <t xml:space="preserve">制約条件</t>
  </si>
  <si>
    <t xml:space="preserve">優先順位（1〜3）</t>
  </si>
  <si>
    <t xml:space="preserve">備考</t>
  </si>
  <si>
    <t xml:space="preserve">スケジュール（納期）</t>
  </si>
  <si>
    <t xml:space="preserve">スコープ（範囲）</t>
  </si>
  <si>
    <t xml:space="preserve">コスト（予算）</t>
  </si>
  <si>
    <t xml:space="preserve">■ 開発アプローチ</t>
  </si>
  <si>
    <t xml:space="preserve">採用する開発アプローチ（原理⑦テーラリング）</t>
  </si>
  <si>
    <r>
      <rPr>
        <b val="true"/>
        <sz val="16"/>
        <color rgb="FFD6336C"/>
        <rFont val="Arial"/>
        <family val="0"/>
        <charset val="1"/>
      </rPr>
      <t xml:space="preserve">3</t>
    </r>
    <r>
      <rPr>
        <b val="true"/>
        <sz val="16"/>
        <color rgb="FFD6336C"/>
        <rFont val="Noto Sans CJK SC"/>
        <family val="2"/>
      </rPr>
      <t xml:space="preserve">大制約条件（</t>
    </r>
    <r>
      <rPr>
        <b val="true"/>
        <sz val="16"/>
        <color rgb="FFD6336C"/>
        <rFont val="Arial"/>
        <family val="0"/>
        <charset val="1"/>
      </rPr>
      <t xml:space="preserve">QCD</t>
    </r>
    <r>
      <rPr>
        <b val="true"/>
        <sz val="16"/>
        <color rgb="FFD6336C"/>
        <rFont val="Noto Sans CJK SC"/>
        <family val="2"/>
      </rPr>
      <t xml:space="preserve">）バランスシート</t>
    </r>
  </si>
  <si>
    <t xml:space="preserve">納期（スケジュール）・スコープ・コストの3つは互いにトレードオフの関係にあります。目標値と許容範囲を明確にし、優先順位に応じてバランスを取りましょう。</t>
  </si>
  <si>
    <t xml:space="preserve">目標値 / 定義</t>
  </si>
  <si>
    <t xml:space="preserve">許容範囲（上限・下限）</t>
  </si>
  <si>
    <t xml:space="preserve">現状値</t>
  </si>
  <si>
    <t xml:space="preserve">優先順位</t>
  </si>
  <si>
    <t xml:space="preserve">備考・トレードオフ方針</t>
  </si>
  <si>
    <t xml:space="preserve">スケジュール（納期）Delivery</t>
  </si>
  <si>
    <t xml:space="preserve">コスト（予算）Cost</t>
  </si>
  <si>
    <t xml:space="preserve">優先順位は「①プロジェクト概要」シートで入力した値が自動反映されます（1=最優先）。</t>
  </si>
  <si>
    <t xml:space="preserve">ステークホルダー登録簿</t>
  </si>
  <si>
    <r>
      <rPr>
        <i val="true"/>
        <sz val="9"/>
        <color rgb="FF666666"/>
        <rFont val="Arial"/>
        <family val="0"/>
        <charset val="1"/>
      </rPr>
      <t xml:space="preserve">PMBOK Guide</t>
    </r>
    <r>
      <rPr>
        <i val="true"/>
        <sz val="9"/>
        <color rgb="FF666666"/>
        <rFont val="Noto Sans CJK SC"/>
        <family val="2"/>
      </rPr>
      <t xml:space="preserve">の</t>
    </r>
    <r>
      <rPr>
        <i val="true"/>
        <sz val="9"/>
        <color rgb="FF666666"/>
        <rFont val="Arial"/>
        <family val="0"/>
        <charset val="1"/>
      </rPr>
      <t xml:space="preserve">3</t>
    </r>
    <r>
      <rPr>
        <i val="true"/>
        <sz val="9"/>
        <color rgb="FF666666"/>
        <rFont val="Noto Sans CJK SC"/>
        <family val="2"/>
      </rPr>
      <t xml:space="preserve">層構造（中心：</t>
    </r>
    <r>
      <rPr>
        <i val="true"/>
        <sz val="9"/>
        <color rgb="FF666666"/>
        <rFont val="Arial"/>
        <family val="0"/>
        <charset val="1"/>
      </rPr>
      <t xml:space="preserve">PM/</t>
    </r>
    <r>
      <rPr>
        <i val="true"/>
        <sz val="9"/>
        <color rgb="FF666666"/>
        <rFont val="Noto Sans CJK SC"/>
        <family val="2"/>
      </rPr>
      <t xml:space="preserve">チーム、中間：ガバナンス、外側：顧客・規制機関等）を参考に、関与度と最適なエンゲージメント方法を見極めましょう。</t>
    </r>
  </si>
  <si>
    <t xml:space="preserve">層（種類）</t>
  </si>
  <si>
    <t xml:space="preserve">氏名 / 組織名</t>
  </si>
  <si>
    <t xml:space="preserve">役割・関心事</t>
  </si>
  <si>
    <t xml:space="preserve">関与度
(高/中/低)</t>
  </si>
  <si>
    <t xml:space="preserve">関与したい
タイミング</t>
  </si>
  <si>
    <t xml:space="preserve">頻度</t>
  </si>
  <si>
    <t xml:space="preserve">推奨コミュニケーション方法</t>
  </si>
  <si>
    <t xml:space="preserve">エンゲージメント状況・備考</t>
  </si>
  <si>
    <t xml:space="preserve">中心：プロジェクトマネジャー</t>
  </si>
  <si>
    <t xml:space="preserve">中心：プロジェクトマネジメントチーム</t>
  </si>
  <si>
    <t xml:space="preserve">中心：プロジェクトチーム</t>
  </si>
  <si>
    <t xml:space="preserve">中間：ガバナンス体制</t>
  </si>
  <si>
    <t xml:space="preserve">中間：PMO</t>
  </si>
  <si>
    <t xml:space="preserve">中間：運営委員会</t>
  </si>
  <si>
    <t xml:space="preserve">外側：サプライヤー</t>
  </si>
  <si>
    <t xml:space="preserve">外側：顧客</t>
  </si>
  <si>
    <t xml:space="preserve">外側：エンドユーザー</t>
  </si>
  <si>
    <t xml:space="preserve">外側：規制機関</t>
  </si>
  <si>
    <t xml:space="preserve">協働的なチーム環境の3要素</t>
  </si>
  <si>
    <t xml:space="preserve">協働的なプロジェクトチーム環境の構築には「チームの合意」「組織構造」「プロセス」の3要素が必要です。プロジェクト開始時に定義し、状況に応じてアップデートしましょう。</t>
  </si>
  <si>
    <t xml:space="preserve">チームの合意</t>
  </si>
  <si>
    <t xml:space="preserve">参考</t>
  </si>
  <si>
    <t xml:space="preserve">行動の範囲・作業規範などチームのルール
（例：ミーティングのルール、コミュニケーションの取り決め、意思決定の方法 など）</t>
  </si>
  <si>
    <t xml:space="preserve">このプロジェクトでの定義</t>
  </si>
  <si>
    <t xml:space="preserve">組織構造</t>
  </si>
  <si>
    <t xml:space="preserve">プロジェクト進行に合わせて活用する体制
（例：テスト実施・出荷判定を行う組織、エスカレーション先 など）</t>
  </si>
  <si>
    <t xml:space="preserve">プロセス</t>
  </si>
  <si>
    <r>
      <rPr>
        <i val="true"/>
        <sz val="9"/>
        <color rgb="FF666666"/>
        <rFont val="Arial"/>
        <family val="0"/>
        <charset val="1"/>
      </rPr>
      <t xml:space="preserve">WBS</t>
    </r>
    <r>
      <rPr>
        <i val="true"/>
        <sz val="9"/>
        <color rgb="FF666666"/>
        <rFont val="Noto Sans CJK SC"/>
        <family val="2"/>
      </rPr>
      <t xml:space="preserve">やタスクボードなど、誰が・何を・いつまでに行うかの共通認識
（例：</t>
    </r>
    <r>
      <rPr>
        <i val="true"/>
        <sz val="9"/>
        <color rgb="FF666666"/>
        <rFont val="Arial"/>
        <family val="0"/>
        <charset val="1"/>
      </rPr>
      <t xml:space="preserve">WBS</t>
    </r>
    <r>
      <rPr>
        <i val="true"/>
        <sz val="9"/>
        <color rgb="FF666666"/>
        <rFont val="Noto Sans CJK SC"/>
        <family val="2"/>
      </rPr>
      <t xml:space="preserve">の分解粒度、タスク管理ツール、更新頻度 など）</t>
    </r>
  </si>
  <si>
    <r>
      <rPr>
        <b val="true"/>
        <sz val="16"/>
        <color rgb="FFD6336C"/>
        <rFont val="Arial"/>
        <family val="0"/>
        <charset val="1"/>
      </rPr>
      <t xml:space="preserve">WBS</t>
    </r>
    <r>
      <rPr>
        <b val="true"/>
        <sz val="16"/>
        <color rgb="FFD6336C"/>
        <rFont val="Noto Sans CJK SC"/>
        <family val="2"/>
      </rPr>
      <t xml:space="preserve">（作業分解構成図）・タスク管理</t>
    </r>
  </si>
  <si>
    <t xml:space="preserve">誰が・何を・いつまでに行うかを明確にし、プロセスの共通認識として管理しましょう。ステータスは進捗率と連動して自動集計されます。</t>
  </si>
  <si>
    <t xml:space="preserve">タスクID</t>
  </si>
  <si>
    <t xml:space="preserve">タスク名（WBS要素）</t>
  </si>
  <si>
    <t xml:space="preserve">担当者</t>
  </si>
  <si>
    <t xml:space="preserve">期限</t>
  </si>
  <si>
    <t xml:space="preserve">ステータス</t>
  </si>
  <si>
    <t xml:space="preserve">進捗率</t>
  </si>
  <si>
    <t xml:space="preserve">依存タスクID</t>
  </si>
  <si>
    <t xml:space="preserve">T01</t>
  </si>
  <si>
    <t xml:space="preserve">T02</t>
  </si>
  <si>
    <t xml:space="preserve">T03</t>
  </si>
  <si>
    <t xml:space="preserve">T04</t>
  </si>
  <si>
    <t xml:space="preserve">T05</t>
  </si>
  <si>
    <t xml:space="preserve">T06</t>
  </si>
  <si>
    <t xml:space="preserve">T07</t>
  </si>
  <si>
    <t xml:space="preserve">T08</t>
  </si>
  <si>
    <t xml:space="preserve">T09</t>
  </si>
  <si>
    <t xml:space="preserve">T10</t>
  </si>
  <si>
    <t xml:space="preserve">T11</t>
  </si>
  <si>
    <t xml:space="preserve">T12</t>
  </si>
  <si>
    <t xml:space="preserve">全体進捗率</t>
  </si>
  <si>
    <t xml:space="preserve">完了タスク数 / 全タスク数</t>
  </si>
  <si>
    <t xml:space="preserve">品質管理チェックリスト</t>
  </si>
  <si>
    <t xml:space="preserve">「成果物品質（要求事項を満たすか）」と「プロジェクト品質（活動・プロセスが適切か）」の両方を満たすことで高品質を提供できます。</t>
  </si>
  <si>
    <t xml:space="preserve">■ 成果物品質（品質のコントロール）</t>
  </si>
  <si>
    <t xml:space="preserve">実施部門：プロジェクトチーム／手段：テスト・検査</t>
  </si>
  <si>
    <t xml:space="preserve">項目ID</t>
  </si>
  <si>
    <t xml:space="preserve">要求事項 / 品質基準</t>
  </si>
  <si>
    <t xml:space="preserve">受入基準</t>
  </si>
  <si>
    <t xml:space="preserve">判定（合格/不合格）</t>
  </si>
  <si>
    <t xml:space="preserve">D01</t>
  </si>
  <si>
    <t xml:space="preserve">D02</t>
  </si>
  <si>
    <t xml:space="preserve">D03</t>
  </si>
  <si>
    <t xml:space="preserve">D04</t>
  </si>
  <si>
    <t xml:space="preserve">D05</t>
  </si>
  <si>
    <t xml:space="preserve">■ プロジェクト品質（品質のマネジメント）</t>
  </si>
  <si>
    <t xml:space="preserve">実施部門：組織内の第三者（PMO・品質保証部）／手段：監査・レビュー</t>
  </si>
  <si>
    <t xml:space="preserve">監査・レビュー対象プロセス</t>
  </si>
  <si>
    <t xml:space="preserve">妥当性評価の観点</t>
  </si>
  <si>
    <t xml:space="preserve">評価結果</t>
  </si>
  <si>
    <t xml:space="preserve">改善アクション</t>
  </si>
  <si>
    <t xml:space="preserve">P01</t>
  </si>
  <si>
    <t xml:space="preserve">P02</t>
  </si>
  <si>
    <t xml:space="preserve">P03</t>
  </si>
  <si>
    <t xml:space="preserve">P04</t>
  </si>
  <si>
    <t xml:space="preserve">P05</t>
  </si>
  <si>
    <t xml:space="preserve">複雑さ評価 と リスク登録簿</t>
  </si>
  <si>
    <t xml:space="preserve">■ 複雑さをもたらす要因の評価</t>
  </si>
  <si>
    <t xml:space="preserve">複雑さの要因</t>
  </si>
  <si>
    <t xml:space="preserve">概要</t>
  </si>
  <si>
    <t xml:space="preserve">該当度
(高/中/低)</t>
  </si>
  <si>
    <t xml:space="preserve">具体的な内容</t>
  </si>
  <si>
    <t xml:space="preserve">対応策</t>
  </si>
  <si>
    <t xml:space="preserve">人の振る舞い</t>
  </si>
  <si>
    <t xml:space="preserve">行動・態度・経験の組み合わせ、主観的要素、タイムゾーン・言語・文化的規範の違い</t>
  </si>
  <si>
    <t xml:space="preserve">システムの振る舞い</t>
  </si>
  <si>
    <t xml:space="preserve">異なるシステムの統合による要素間の相互依存・脅威</t>
  </si>
  <si>
    <t xml:space="preserve">不確かさと曖昧さ</t>
  </si>
  <si>
    <t xml:space="preserve">理解・認識の欠如（不確かさ）／期待や最適選択が不明瞭（曖昧さ）</t>
  </si>
  <si>
    <t xml:space="preserve">技術革新</t>
  </si>
  <si>
    <t xml:space="preserve">プロジェクトの中で利用する新しい技術</t>
  </si>
  <si>
    <t xml:space="preserve">■ リスク登録簿</t>
  </si>
  <si>
    <t xml:space="preserve">リスクへの許容度と対応方針を明確にし、継続的に評価しましょう（原理⑩リスク）。スコア＝発生確率×影響度で自動計算されます。</t>
  </si>
  <si>
    <t xml:space="preserve">リスクID</t>
  </si>
  <si>
    <t xml:space="preserve">リスク内容</t>
  </si>
  <si>
    <t xml:space="preserve">発生確率(1-5)</t>
  </si>
  <si>
    <t xml:space="preserve">影響度(1-5)</t>
  </si>
  <si>
    <t xml:space="preserve">スコア</t>
  </si>
  <si>
    <t xml:space="preserve">種別
(脅威/好機)</t>
  </si>
  <si>
    <t xml:space="preserve">対応戦略</t>
  </si>
  <si>
    <t xml:space="preserve">担当</t>
  </si>
  <si>
    <t xml:space="preserve">R01</t>
  </si>
  <si>
    <t xml:space="preserve">R02</t>
  </si>
  <si>
    <t xml:space="preserve">R03</t>
  </si>
  <si>
    <t xml:space="preserve">R04</t>
  </si>
  <si>
    <t xml:space="preserve">R05</t>
  </si>
  <si>
    <t xml:space="preserve">R06</t>
  </si>
  <si>
    <t xml:space="preserve">R07</t>
  </si>
  <si>
    <t xml:space="preserve">R08</t>
  </si>
  <si>
    <t xml:space="preserve">※「種別」は脅威（悪影響）か好機（好影響）かを選択。「対応戦略」は4章の個別リスク対応方法（脅威：エスカレーション/回避/転嫁/軽減/受容、好機：エスカレーション/活用/共有/強化/受容）から選択します。</t>
  </si>
  <si>
    <t xml:space="preserve">チェンジマネジメント ワークシート</t>
  </si>
  <si>
    <t xml:space="preserve">現状から望ましい状態へ移行するための体系的アプローチ（強制ではなく動機付けで進める）を、4ステップで整理します。</t>
  </si>
  <si>
    <t xml:space="preserve">① 対象者は誰か</t>
  </si>
  <si>
    <t xml:space="preserve">今までと違うアプローチが必要なグループを特定</t>
  </si>
  <si>
    <t xml:space="preserve">② 何が変わるのか</t>
  </si>
  <si>
    <t xml:space="preserve">どのような違いが必要なのかを確かめる</t>
  </si>
  <si>
    <t xml:space="preserve">③ 何が必要とされているのか</t>
  </si>
  <si>
    <t xml:space="preserve">支援するのに必要な資料やサポートを提供する</t>
  </si>
  <si>
    <t xml:space="preserve">④ なぜ大切か</t>
  </si>
  <si>
    <t xml:space="preserve">行動の変化の重要性を監視し、強化していく</t>
  </si>
  <si>
    <t xml:space="preserve">■ 変更履歴ログ</t>
  </si>
  <si>
    <t xml:space="preserve">変更ID</t>
  </si>
  <si>
    <t xml:space="preserve">変更内容</t>
  </si>
  <si>
    <t xml:space="preserve">影響を受ける
ステークホルダー</t>
  </si>
  <si>
    <t xml:space="preserve">変更理由</t>
  </si>
  <si>
    <t xml:space="preserve">承認者</t>
  </si>
  <si>
    <t xml:space="preserve">承認日</t>
  </si>
  <si>
    <t xml:space="preserve">C01</t>
  </si>
  <si>
    <t xml:space="preserve">C02</t>
  </si>
  <si>
    <t xml:space="preserve">C03</t>
  </si>
  <si>
    <t xml:space="preserve">C04</t>
  </si>
  <si>
    <t xml:space="preserve">C05</t>
  </si>
  <si>
    <t xml:space="preserve">C06</t>
  </si>
  <si>
    <t xml:space="preserve">C07</t>
  </si>
  <si>
    <t xml:space="preserve">C08</t>
  </si>
  <si>
    <t xml:space="preserve">情報の流れ（報告ルート設計）</t>
  </si>
  <si>
    <t xml:space="preserve">価値実現システムの効果を高めるには情報の流れが重要です。上級管理職⇄ポートフォリオ⇄プログラムとプロジェクト⇄定常業務、それぞれの階層間で「何を」「どの頻度で」報告・連携するかを設計しましょう。</t>
  </si>
  <si>
    <t xml:space="preserve">階層 / 連携先</t>
  </si>
  <si>
    <t xml:space="preserve">受け取る情報</t>
  </si>
  <si>
    <t xml:space="preserve">報告・提供する情報</t>
  </si>
  <si>
    <t xml:space="preserve">連携方法・ツール</t>
  </si>
  <si>
    <t xml:space="preserve">上級管理職 → ポートフォリオ（戦略の伝達）</t>
  </si>
  <si>
    <t xml:space="preserve">ポートフォリオ → 上級管理職（パフォーマンス報告）</t>
  </si>
  <si>
    <t xml:space="preserve">ポートフォリオ → プログラム/プロジェクト（望ましい成果・ベネフィット・価値）</t>
  </si>
  <si>
    <t xml:space="preserve">プログラム/プロジェクト → ポートフォリオ（パフォーマンス情報と進捗）</t>
  </si>
  <si>
    <t xml:space="preserve">プログラム/プロジェクト → 定常業務（サポート・メンテナンス情報を含む成果物）</t>
  </si>
  <si>
    <t xml:space="preserve">定常業務 → プログラム/プロジェクト（更新・修正・調整のための情報）</t>
  </si>
  <si>
    <r>
      <rPr>
        <b val="true"/>
        <sz val="16"/>
        <color rgb="FFD6336C"/>
        <rFont val="Arial"/>
        <family val="0"/>
        <charset val="1"/>
      </rPr>
      <t xml:space="preserve">12</t>
    </r>
    <r>
      <rPr>
        <b val="true"/>
        <sz val="16"/>
        <color rgb="FFD6336C"/>
        <rFont val="Noto Sans CJK SC"/>
        <family val="2"/>
      </rPr>
      <t xml:space="preserve">の原理・原則 セルフチェック</t>
    </r>
  </si>
  <si>
    <t xml:space="preserve">各原則の実践度を5段階（1=不十分〜5=十分に実践できている）で自己評価し、改善したいアクションを記入しましょう。優先順位や重なりを気にせず、気づきのために使うものです。</t>
  </si>
  <si>
    <t xml:space="preserve">No.</t>
  </si>
  <si>
    <t xml:space="preserve">原理・原則</t>
  </si>
  <si>
    <t xml:space="preserve">実践度
(1-5)</t>
  </si>
  <si>
    <t xml:space="preserve">1</t>
  </si>
  <si>
    <t xml:space="preserve">スチュワードシップ</t>
  </si>
  <si>
    <t xml:space="preserve">誠実さ、コンプライアンス遵守など、プロジェクトマネジャーに求められるもの</t>
  </si>
  <si>
    <t xml:space="preserve">2</t>
  </si>
  <si>
    <t xml:space="preserve">チーム</t>
  </si>
  <si>
    <t xml:space="preserve">プロジェクトは1人ではなく、チームによって実行される</t>
  </si>
  <si>
    <t xml:space="preserve">3</t>
  </si>
  <si>
    <t xml:space="preserve">ステークホルダー</t>
  </si>
  <si>
    <t xml:space="preserve">ステークホルダーを特定・分析し、効果的に関わる</t>
  </si>
  <si>
    <t xml:space="preserve">4</t>
  </si>
  <si>
    <t xml:space="preserve">価値</t>
  </si>
  <si>
    <t xml:space="preserve">何を提供するのか、また、ベネフィットは継続的に評価されている</t>
  </si>
  <si>
    <t xml:space="preserve">5</t>
  </si>
  <si>
    <t xml:space="preserve">システム思考</t>
  </si>
  <si>
    <t xml:space="preserve">変更が発生したらプロジェクト内のあらゆるところに影響が出るなど、構成要素の関係性</t>
  </si>
  <si>
    <t xml:space="preserve">6</t>
  </si>
  <si>
    <t xml:space="preserve">リーダーシップ</t>
  </si>
  <si>
    <t xml:space="preserve">個人とチームのニーズに対応するために、ビジョン、動機付け、励まし、共感などにより影響を与える</t>
  </si>
  <si>
    <t xml:space="preserve">7</t>
  </si>
  <si>
    <t xml:space="preserve">テーラリング</t>
  </si>
  <si>
    <t xml:space="preserve">プロジェクトの状況に合わせて、開発アプローチを設計する</t>
  </si>
  <si>
    <t xml:space="preserve">8</t>
  </si>
  <si>
    <t xml:space="preserve">品質</t>
  </si>
  <si>
    <t xml:space="preserve">開発する成果物は、ステークホルダーの受入基準を満たしている必要がある</t>
  </si>
  <si>
    <t xml:space="preserve">9</t>
  </si>
  <si>
    <t xml:space="preserve">複雑さ</t>
  </si>
  <si>
    <t xml:space="preserve">人の影響や、新しいことに臨むことで複雑さは増し、その複雑性に対応する必要がある</t>
  </si>
  <si>
    <t xml:space="preserve">10</t>
  </si>
  <si>
    <t xml:space="preserve">リスク</t>
  </si>
  <si>
    <t xml:space="preserve">リスクに対してどのように臨むのか、許容度はどの程度なのかを継続的に評価する</t>
  </si>
  <si>
    <t xml:space="preserve">11</t>
  </si>
  <si>
    <t xml:space="preserve">適応力と回復力</t>
  </si>
  <si>
    <t xml:space="preserve">プロジェクトには変化が発生するため、柔軟性が必要である</t>
  </si>
  <si>
    <t xml:space="preserve">12</t>
  </si>
  <si>
    <t xml:space="preserve">チェンジ</t>
  </si>
  <si>
    <t xml:space="preserve">プロジェクトの成果により母体組織にはあらゆる変化が発生する。影響を受ける人には継続的にアプローチする</t>
  </si>
  <si>
    <t xml:space="preserve">平均スコア</t>
  </si>
  <si>
    <t xml:space="preserve">組織のプロセス資産チェックリスト</t>
  </si>
  <si>
    <t xml:space="preserve">過去のプロジェクトの蓄積をデータとして保存し、組織のプロセス資産として活用できるようにしましょう。自分のプロジェクトで使える資産を棚卸しします。</t>
  </si>
  <si>
    <t xml:space="preserve">種類</t>
  </si>
  <si>
    <t xml:space="preserve">資産の例</t>
  </si>
  <si>
    <t xml:space="preserve">このプロジェクトでの資産名 / 内容</t>
  </si>
  <si>
    <t xml:space="preserve">保存場所</t>
  </si>
  <si>
    <t xml:space="preserve">最終更新日 / 備考</t>
  </si>
  <si>
    <t xml:space="preserve">プロジェクトの立ち上げと計画で
利用できるもの</t>
  </si>
  <si>
    <t xml:space="preserve">ベンダーのリスト、計画書などのテンプレート、母体組織の品質に対する方針、プロジェクトの進め方（ライフサイクル）など</t>
  </si>
  <si>
    <t xml:space="preserve">プロジェクトの実行と監視・
コントロールで利用できるもの</t>
  </si>
  <si>
    <t xml:space="preserve">課題が発生した場合の対処法、資源の管理方法、課題管理表などのテンプレート、標準化された作業の進め方など</t>
  </si>
  <si>
    <t xml:space="preserve">母体組織の知識資産</t>
  </si>
  <si>
    <t xml:space="preserve">労務時間のデータ、予算などの財務データ、構成管理手順などのデータ、過去のプロジェクトで得られた教訓など</t>
  </si>
  <si>
    <t xml:space="preserve">ステークホルダーエンゲージメント分析</t>
  </si>
  <si>
    <t xml:space="preserve">セイリエンスモデル（権力・正当性・緊急性）、権力と関心度のグリッド、関与度評価マトリックス（現在C/望まれるD）を1枚に統合。4章の分析手法をもとに、優先度の高いステークホルダーを見極めます。</t>
  </si>
  <si>
    <t xml:space="preserve">ステークホルダー名</t>
  </si>
  <si>
    <t xml:space="preserve">権力
(高/中/低)</t>
  </si>
  <si>
    <t xml:space="preserve">正当性
(高/中/低)</t>
  </si>
  <si>
    <t xml:space="preserve">緊急性
(高/中/低)</t>
  </si>
  <si>
    <t xml:space="preserve">関心度
(高/中/低)</t>
  </si>
  <si>
    <t xml:space="preserve">現在の関与度(C)</t>
  </si>
  <si>
    <t xml:space="preserve">望まれる関与度(D)</t>
  </si>
  <si>
    <t xml:space="preserve">ギャップ</t>
  </si>
  <si>
    <t xml:space="preserve">推奨アプローチ</t>
  </si>
  <si>
    <t xml:space="preserve">・権力/正当性/緊急性の3つすべてが「高」に近いほど＝セイリエンスモデルでの重要人物
・権力「高」×関心度「低」＝満足な状態を保つ／権力「高」×関心度「高」＝注意深くマネジメント／権力「低」×関心度「低」＝監視する／権力「低」×関心度「高」＝常に情報を伝える
・現在(C)と望まれる(D)の関与度にギャップがある場合、そのギャップを埋めるコミュニケーション（プッシュ型/プル型/双方向型）を「推奨アプローチ」欄に記載</t>
  </si>
  <si>
    <t xml:space="preserve">■ コミュニケーション方法の使い分け（参考）</t>
  </si>
  <si>
    <t xml:space="preserve">方法</t>
  </si>
  <si>
    <t xml:space="preserve">特徴</t>
  </si>
  <si>
    <t xml:space="preserve">主な用途</t>
  </si>
  <si>
    <t xml:space="preserve">プッシュ型</t>
  </si>
  <si>
    <t xml:space="preserve">特定の受け手へ一方的に送信。到達・理解の確認はできない</t>
  </si>
  <si>
    <t xml:space="preserve">情報量が多い場合、対象者が多い場合</t>
  </si>
  <si>
    <t xml:space="preserve">プル型</t>
  </si>
  <si>
    <t xml:space="preserve">受け手が自ら取得（ポータル等）。主体的アクセスが必要</t>
  </si>
  <si>
    <t xml:space="preserve">情報量が大量、対象者が多い場合</t>
  </si>
  <si>
    <t xml:space="preserve">双方向型</t>
  </si>
  <si>
    <t xml:space="preserve">会議・電話・Web会議等でやり取り。深い対話が可能</t>
  </si>
  <si>
    <t xml:space="preserve">共通理解が必要な議題、エンゲージメント向上に直結</t>
  </si>
  <si>
    <t xml:space="preserve">チームパフォーマンス管理</t>
  </si>
  <si>
    <t xml:space="preserve">パフォーマンスの高いチームに共通する要素をセルフチェックし、動機付け・コンフリクトの発生状況を記録します。</t>
  </si>
  <si>
    <t xml:space="preserve">■ パフォーマンスの高いチームの要素セルフチェック</t>
  </si>
  <si>
    <t xml:space="preserve">要素</t>
  </si>
  <si>
    <t xml:space="preserve">内容</t>
  </si>
  <si>
    <t xml:space="preserve">達成度(1-5)</t>
  </si>
  <si>
    <t xml:space="preserve">オープンなコミュニケーション</t>
  </si>
  <si>
    <t xml:space="preserve">理解の共有、信頼、協働が可能になる</t>
  </si>
  <si>
    <t xml:space="preserve">理解の共有</t>
  </si>
  <si>
    <t xml:space="preserve">プロジェクトによって得られるベネフィットを共有している</t>
  </si>
  <si>
    <t xml:space="preserve">オーナーシップの共有</t>
  </si>
  <si>
    <t xml:space="preserve">成果に対して能動的に主体性や責任を持ち、行動する</t>
  </si>
  <si>
    <t xml:space="preserve">信頼</t>
  </si>
  <si>
    <t xml:space="preserve">互いに信頼していて、成功のための努力を進める</t>
  </si>
  <si>
    <t xml:space="preserve">協働</t>
  </si>
  <si>
    <t xml:space="preserve">多様なアイデアを生み出し、よりよい成果を求める</t>
  </si>
  <si>
    <t xml:space="preserve">変化する状況に対応する能力と、挫折や失敗から迅速に回復する能力</t>
  </si>
  <si>
    <t xml:space="preserve">エンパワーメント</t>
  </si>
  <si>
    <t xml:space="preserve">意思決定を行う権限が与えられている</t>
  </si>
  <si>
    <t xml:space="preserve">認知</t>
  </si>
  <si>
    <t xml:space="preserve">パフォーマンスが適切に評価されていることを認識している</t>
  </si>
  <si>
    <t xml:space="preserve">平均達成度</t>
  </si>
  <si>
    <t xml:space="preserve">■ 動機付けの状況</t>
  </si>
  <si>
    <t xml:space="preserve">メンバー</t>
  </si>
  <si>
    <t xml:space="preserve">外発的動機付け（報酬・評価等）</t>
  </si>
  <si>
    <t xml:space="preserve">内発的動機付け（成長実感・好奇心等）</t>
  </si>
  <si>
    <t xml:space="preserve">エンゲージメント向上策</t>
  </si>
  <si>
    <t xml:space="preserve">■ コンフリクトログ</t>
  </si>
  <si>
    <r>
      <rPr>
        <i val="true"/>
        <sz val="9"/>
        <color rgb="FF666666"/>
        <rFont val="Arial"/>
        <family val="0"/>
        <charset val="1"/>
      </rPr>
      <t xml:space="preserve">5</t>
    </r>
    <r>
      <rPr>
        <i val="true"/>
        <sz val="9"/>
        <color rgb="FF666666"/>
        <rFont val="Noto Sans CJK SC"/>
        <family val="2"/>
      </rPr>
      <t xml:space="preserve">つのアプローチ（撤退・回避／鎮静・適応／妥協／強制・指示／協力・問題解決）を状況に応じて使い分けます。「協力・問題解決」が最良とされますが、時間がかかるため状況判断が必要です。</t>
    </r>
  </si>
  <si>
    <t xml:space="preserve">発生日</t>
  </si>
  <si>
    <t xml:space="preserve">コンフリクトの内容</t>
  </si>
  <si>
    <t xml:space="preserve">採用したアプローチ</t>
  </si>
  <si>
    <t xml:space="preserve">結果・振り返り</t>
  </si>
  <si>
    <t xml:space="preserve">開発アプローチ選定チェックリスト</t>
  </si>
  <si>
    <r>
      <rPr>
        <i val="true"/>
        <sz val="9"/>
        <color rgb="FF666666"/>
        <rFont val="Arial"/>
        <family val="0"/>
        <charset val="1"/>
      </rPr>
      <t xml:space="preserve">PMBOK Guide</t>
    </r>
    <r>
      <rPr>
        <i val="true"/>
        <sz val="9"/>
        <color rgb="FF666666"/>
        <rFont val="Noto Sans CJK SC"/>
        <family val="2"/>
      </rPr>
      <t xml:space="preserve">が示す</t>
    </r>
    <r>
      <rPr>
        <i val="true"/>
        <sz val="9"/>
        <color rgb="FF666666"/>
        <rFont val="Arial"/>
        <family val="0"/>
        <charset val="1"/>
      </rPr>
      <t xml:space="preserve">3</t>
    </r>
    <r>
      <rPr>
        <i val="true"/>
        <sz val="9"/>
        <color rgb="FF666666"/>
        <rFont val="Noto Sans CJK SC"/>
        <family val="2"/>
      </rPr>
      <t xml:space="preserve">つのカテゴリー（プロジェクト・成果物・組織）の要因を評価し、予測型か適応型かの判断材料にします。「適応型寄り」が多いほど、反復型・漸進型・アジャイル型などの適応型アプローチが妥当です。</t>
    </r>
  </si>
  <si>
    <t xml:space="preserve">① プロジェクトに関わる要因</t>
  </si>
  <si>
    <t xml:space="preserve">要因</t>
  </si>
  <si>
    <t xml:space="preserve">確認観点</t>
  </si>
  <si>
    <t xml:space="preserve">判定
(予測型寄り/適応型寄り)</t>
  </si>
  <si>
    <t xml:space="preserve">ステークホルダーの関与度</t>
  </si>
  <si>
    <t xml:space="preserve">プロセス全体を通した積極的な関与が必要か</t>
  </si>
  <si>
    <t xml:space="preserve">スケジュールの制約条件</t>
  </si>
  <si>
    <t xml:space="preserve">完成品の一部機能を早期提供する必要があるか</t>
  </si>
  <si>
    <t xml:space="preserve">資金調達の可能性</t>
  </si>
  <si>
    <t xml:space="preserve">少ない投資で段階的にリリースする必要があるか</t>
  </si>
  <si>
    <t xml:space="preserve">② 成果物に関わる要因</t>
  </si>
  <si>
    <t xml:space="preserve">イノベーションの度合い・要求事項の確実性</t>
  </si>
  <si>
    <t xml:space="preserve">要求事項が明確か、技術革新を伴うか</t>
  </si>
  <si>
    <t xml:space="preserve">スコープの安定性・変更の容易さ</t>
  </si>
  <si>
    <t xml:space="preserve">スコープ変更の可能性は高いか低いか</t>
  </si>
  <si>
    <t xml:space="preserve">デリバリーオプション</t>
  </si>
  <si>
    <t xml:space="preserve">一括提供か、部分的な提供が可能か</t>
  </si>
  <si>
    <t xml:space="preserve">安全要求事項・規制</t>
  </si>
  <si>
    <t xml:space="preserve">厳格な安全要求事項や規制があるか</t>
  </si>
  <si>
    <t xml:space="preserve">③ 組織に関わる要因</t>
  </si>
  <si>
    <t xml:space="preserve">階層が多く硬直的か、フラットで自律的か</t>
  </si>
  <si>
    <t xml:space="preserve">文化</t>
  </si>
  <si>
    <t xml:space="preserve">管理・指示の文化か、自ら考え行動する文化か</t>
  </si>
  <si>
    <t xml:space="preserve">チームの規模・地理的分散</t>
  </si>
  <si>
    <t xml:space="preserve">大規模で分散しているか、少人数で1カ所に集約か</t>
  </si>
  <si>
    <t xml:space="preserve">■ 総合判定</t>
  </si>
  <si>
    <t xml:space="preserve">予測型寄りの数</t>
  </si>
  <si>
    <t xml:space="preserve">適応型寄りの数</t>
  </si>
  <si>
    <t xml:space="preserve">推奨される開発アプローチ</t>
  </si>
  <si>
    <t xml:space="preserve">見積り・予備費管理</t>
  </si>
  <si>
    <t xml:space="preserve">開発アプローチの特徴に応じて利用しやすい見積り方法を選び、コンティンジェンシー予備／マネジメント予備を管理します。</t>
  </si>
  <si>
    <t xml:space="preserve">■ 見積り方法の選択</t>
  </si>
  <si>
    <t xml:space="preserve">見積り対象（成果物/作業）</t>
  </si>
  <si>
    <t xml:space="preserve">見積り種類</t>
  </si>
  <si>
    <t xml:space="preserve">見積り結果</t>
  </si>
  <si>
    <t xml:space="preserve">根拠・前提条件</t>
  </si>
  <si>
    <t xml:space="preserve">■ 予備費（リザーブ）管理</t>
  </si>
  <si>
    <t xml:space="preserve">コンティンジェンシー予備はコストベースラインに含まれ、プロジェクトマネジャーが管理。マネジメント予備はプロジェクト総予算に含まれるがコストベースラインには含まれず、スポンサーが管理します。</t>
  </si>
  <si>
    <t xml:space="preserve">項目</t>
  </si>
  <si>
    <t xml:space="preserve">金額</t>
  </si>
  <si>
    <t xml:space="preserve">管理者</t>
  </si>
  <si>
    <t xml:space="preserve">使用条件・承認プロセス</t>
  </si>
  <si>
    <t xml:space="preserve">プロジェクト見積り総額（コスト見積りの合計）</t>
  </si>
  <si>
    <t xml:space="preserve">コンティンジェンシー予備（特定できたリスク対応）</t>
  </si>
  <si>
    <t xml:space="preserve">＝コストベースライン（見積り＋コンティンジェンシー予備）</t>
  </si>
  <si>
    <t xml:space="preserve">マネジメント予備（特定できないリスク対応）</t>
  </si>
  <si>
    <t xml:space="preserve">スポンサー</t>
  </si>
  <si>
    <t xml:space="preserve">＝プロジェクト総予算（コストベースライン＋マネジメント予備）</t>
  </si>
  <si>
    <t xml:space="preserve">プロジェクト作業・調達管理</t>
  </si>
  <si>
    <t xml:space="preserve">作業プロセスの改善記録と、外部ベンダーへの調達プロセスの進捗を管理します。</t>
  </si>
  <si>
    <t xml:space="preserve">■ プロセス改善ログ（リーン生産方式／レトロスペクティブ）</t>
  </si>
  <si>
    <t xml:space="preserve">実施日</t>
  </si>
  <si>
    <t xml:space="preserve">手法</t>
  </si>
  <si>
    <t xml:space="preserve">発見された無駄・課題</t>
  </si>
  <si>
    <t xml:space="preserve">効果測定</t>
  </si>
  <si>
    <t xml:space="preserve">■ 調達プロセス管理</t>
  </si>
  <si>
    <t xml:space="preserve">①調達作業範囲記述書作成→②評価方法決定→③入札文書作成→④入札説明会→⑤評価→⑥交渉→⑦契約締結、の流れで進捗を管理します。</t>
  </si>
  <si>
    <t xml:space="preserve">調達品目・作業</t>
  </si>
  <si>
    <t xml:space="preserve">入札文書の種類</t>
  </si>
  <si>
    <t xml:space="preserve">対象ベンダー</t>
  </si>
  <si>
    <t xml:space="preserve">現在のステップ</t>
  </si>
  <si>
    <t xml:space="preserve">契約締結予定日</t>
  </si>
  <si>
    <t xml:space="preserve">品質コスト管理（COQ）</t>
  </si>
  <si>
    <t xml:space="preserve">品質コストは「適合コスト（予防・評価）」と「不適合コスト（内部不良・外部不良）」に分類されます。バランスを確認しながら品質投資を計画しましょう。</t>
  </si>
  <si>
    <t xml:space="preserve">分類</t>
  </si>
  <si>
    <t xml:space="preserve">項目・内容</t>
  </si>
  <si>
    <t xml:space="preserve">適合コスト｜予防コスト</t>
  </si>
  <si>
    <t xml:space="preserve">計画策定、プログラム開発・準備 等</t>
  </si>
  <si>
    <t xml:space="preserve">適合コスト｜評価コスト</t>
  </si>
  <si>
    <t xml:space="preserve">評価・テストなどの検証作業、サプライヤー評価 等</t>
  </si>
  <si>
    <t xml:space="preserve">不適合コスト｜内部不良コスト</t>
  </si>
  <si>
    <t xml:space="preserve">手直し、再作業、廃棄、追加テスト 等</t>
  </si>
  <si>
    <t xml:space="preserve">不適合コスト｜外部不良コスト</t>
  </si>
  <si>
    <t xml:space="preserve">保証対応、返品、リコール、顧客対応費用 等</t>
  </si>
  <si>
    <t xml:space="preserve">適合コスト合計</t>
  </si>
  <si>
    <t xml:space="preserve">不適合コスト合計</t>
  </si>
  <si>
    <t xml:space="preserve">品質コスト総額</t>
  </si>
  <si>
    <t xml:space="preserve">不適合コスト比率</t>
  </si>
  <si>
    <t xml:space="preserve">不適合コスト比率が高い場合、予防・評価への投資（適合コスト）を見直すサインです。</t>
  </si>
  <si>
    <t xml:space="preserve">測定ダッシュボード（KPI・事業価値）</t>
  </si>
  <si>
    <t xml:space="preserve">先行指標と遅行指標のバランスを取りながら測定します。KPI設計時はSMART基準（具体的・有意義・達成可能・関連性・期限）を意識しましょう。</t>
  </si>
  <si>
    <r>
      <rPr>
        <b val="true"/>
        <sz val="10"/>
        <color rgb="FFFFFFFF"/>
        <rFont val="Arial"/>
        <family val="0"/>
        <charset val="1"/>
      </rPr>
      <t xml:space="preserve">■ KPI</t>
    </r>
    <r>
      <rPr>
        <b val="true"/>
        <sz val="10"/>
        <color rgb="FFFFFFFF"/>
        <rFont val="Noto Sans CJK SC"/>
        <family val="2"/>
      </rPr>
      <t xml:space="preserve">一覧</t>
    </r>
  </si>
  <si>
    <r>
      <rPr>
        <b val="true"/>
        <sz val="11"/>
        <color rgb="FFFFFFFF"/>
        <rFont val="Arial"/>
        <family val="0"/>
        <charset val="1"/>
      </rPr>
      <t xml:space="preserve">KPI</t>
    </r>
    <r>
      <rPr>
        <b val="true"/>
        <sz val="11"/>
        <color rgb="FFFFFFFF"/>
        <rFont val="Noto Sans CJK SC"/>
        <family val="2"/>
      </rPr>
      <t xml:space="preserve">名</t>
    </r>
  </si>
  <si>
    <t xml:space="preserve">種類（先行/遅行）</t>
  </si>
  <si>
    <t xml:space="preserve">目標値</t>
  </si>
  <si>
    <t xml:space="preserve">現在値</t>
  </si>
  <si>
    <r>
      <rPr>
        <b val="true"/>
        <sz val="11"/>
        <color rgb="FFFFFFFF"/>
        <rFont val="Arial"/>
        <family val="0"/>
        <charset val="1"/>
      </rPr>
      <t xml:space="preserve">SMART</t>
    </r>
    <r>
      <rPr>
        <b val="true"/>
        <sz val="11"/>
        <color rgb="FFFFFFFF"/>
        <rFont val="Noto Sans CJK SC"/>
        <family val="2"/>
      </rPr>
      <t xml:space="preserve">基準を満たすか</t>
    </r>
  </si>
  <si>
    <r>
      <rPr>
        <b val="true"/>
        <sz val="10"/>
        <color rgb="FFFFFFFF"/>
        <rFont val="Arial"/>
        <family val="0"/>
        <charset val="1"/>
      </rPr>
      <t xml:space="preserve">■ SMART</t>
    </r>
    <r>
      <rPr>
        <b val="true"/>
        <sz val="10"/>
        <color rgb="FFFFFFFF"/>
        <rFont val="Noto Sans CJK SC"/>
        <family val="2"/>
      </rPr>
      <t xml:space="preserve">基準チェック（参考）</t>
    </r>
  </si>
  <si>
    <r>
      <rPr>
        <b val="true"/>
        <sz val="10"/>
        <rFont val="Arial"/>
        <family val="0"/>
        <charset val="1"/>
      </rPr>
      <t xml:space="preserve">Specific</t>
    </r>
    <r>
      <rPr>
        <b val="true"/>
        <sz val="10"/>
        <rFont val="Noto Sans CJK SC"/>
        <family val="2"/>
      </rPr>
      <t xml:space="preserve">（具体的）</t>
    </r>
  </si>
  <si>
    <t xml:space="preserve">何を測定対象とするのか明確か</t>
  </si>
  <si>
    <r>
      <rPr>
        <b val="true"/>
        <sz val="10"/>
        <rFont val="Arial"/>
        <family val="0"/>
        <charset val="1"/>
      </rPr>
      <t xml:space="preserve">Meaningful</t>
    </r>
    <r>
      <rPr>
        <b val="true"/>
        <sz val="10"/>
        <rFont val="Noto Sans CJK SC"/>
        <family val="2"/>
      </rPr>
      <t xml:space="preserve">（有意義）</t>
    </r>
  </si>
  <si>
    <t xml:space="preserve">ビジネスケースや要求事項に結びついているか</t>
  </si>
  <si>
    <r>
      <rPr>
        <b val="true"/>
        <sz val="10"/>
        <rFont val="Arial"/>
        <family val="0"/>
        <charset val="1"/>
      </rPr>
      <t xml:space="preserve">Achievable</t>
    </r>
    <r>
      <rPr>
        <b val="true"/>
        <sz val="10"/>
        <rFont val="Noto Sans CJK SC"/>
        <family val="2"/>
      </rPr>
      <t xml:space="preserve">（達成可能）</t>
    </r>
  </si>
  <si>
    <t xml:space="preserve">人員・技術・環境に照らして妥当で現実的か</t>
  </si>
  <si>
    <r>
      <rPr>
        <b val="true"/>
        <sz val="10"/>
        <rFont val="Arial"/>
        <family val="0"/>
        <charset val="1"/>
      </rPr>
      <t xml:space="preserve">Relevant</t>
    </r>
    <r>
      <rPr>
        <b val="true"/>
        <sz val="10"/>
        <rFont val="Noto Sans CJK SC"/>
        <family val="2"/>
      </rPr>
      <t xml:space="preserve">（関連性）</t>
    </r>
  </si>
  <si>
    <t xml:space="preserve">目標との関連性があり、行動を促す内容か</t>
  </si>
  <si>
    <r>
      <rPr>
        <b val="true"/>
        <sz val="10"/>
        <rFont val="Arial"/>
        <family val="0"/>
        <charset val="1"/>
      </rPr>
      <t xml:space="preserve">Timely</t>
    </r>
    <r>
      <rPr>
        <b val="true"/>
        <sz val="10"/>
        <rFont val="Noto Sans CJK SC"/>
        <family val="2"/>
      </rPr>
      <t xml:space="preserve">（期限）</t>
    </r>
  </si>
  <si>
    <t xml:space="preserve">いつまでに達成するのか期限が明確か</t>
  </si>
  <si>
    <t xml:space="preserve">■ 事業価値の尺度（BCR・ROI・NPV）</t>
  </si>
  <si>
    <t xml:space="preserve">値</t>
  </si>
  <si>
    <t xml:space="preserve">計算式</t>
  </si>
  <si>
    <t xml:space="preserve">判定</t>
  </si>
  <si>
    <t xml:space="preserve">想定ベネフィット（円）</t>
  </si>
  <si>
    <t xml:space="preserve">プロジェクトコスト（円）</t>
  </si>
  <si>
    <r>
      <rPr>
        <b val="true"/>
        <sz val="10"/>
        <rFont val="Arial"/>
        <family val="0"/>
        <charset val="1"/>
      </rPr>
      <t xml:space="preserve">BCR</t>
    </r>
    <r>
      <rPr>
        <b val="true"/>
        <sz val="10"/>
        <rFont val="Noto Sans CJK SC"/>
        <family val="2"/>
      </rPr>
      <t xml:space="preserve">（費用便益率）</t>
    </r>
  </si>
  <si>
    <t xml:space="preserve">ベネフィット ÷ コスト</t>
  </si>
  <si>
    <r>
      <rPr>
        <b val="true"/>
        <sz val="10"/>
        <rFont val="Arial"/>
        <family val="0"/>
        <charset val="1"/>
      </rPr>
      <t xml:space="preserve">ROI</t>
    </r>
    <r>
      <rPr>
        <b val="true"/>
        <sz val="10"/>
        <rFont val="Noto Sans CJK SC"/>
        <family val="2"/>
      </rPr>
      <t xml:space="preserve">（投資対効果）</t>
    </r>
  </si>
  <si>
    <t xml:space="preserve">（ベネフィット − コスト）÷ コスト</t>
  </si>
  <si>
    <r>
      <rPr>
        <b val="true"/>
        <sz val="10"/>
        <color rgb="FFFFFFFF"/>
        <rFont val="Arial"/>
        <family val="0"/>
        <charset val="1"/>
      </rPr>
      <t xml:space="preserve">■ NPV</t>
    </r>
    <r>
      <rPr>
        <b val="true"/>
        <sz val="10"/>
        <color rgb="FFFFFFFF"/>
        <rFont val="Noto Sans CJK SC"/>
        <family val="2"/>
      </rPr>
      <t xml:space="preserve">（正味現在価値）シミュレーション</t>
    </r>
  </si>
  <si>
    <t xml:space="preserve">将来の売上・利益（円）</t>
  </si>
  <si>
    <t xml:space="preserve">年数（年）</t>
  </si>
  <si>
    <t xml:space="preserve">想定金利（年率）</t>
  </si>
  <si>
    <t xml:space="preserve">開発費（円）</t>
  </si>
  <si>
    <t xml:space="preserve">現在価値（PV）</t>
  </si>
  <si>
    <t xml:space="preserve">将来価値 ÷ (1+金利)^年数</t>
  </si>
  <si>
    <r>
      <rPr>
        <b val="true"/>
        <sz val="10"/>
        <rFont val="Arial"/>
        <family val="0"/>
        <charset val="1"/>
      </rPr>
      <t xml:space="preserve">NPV</t>
    </r>
    <r>
      <rPr>
        <b val="true"/>
        <sz val="10"/>
        <rFont val="Noto Sans CJK SC"/>
        <family val="2"/>
      </rPr>
      <t xml:space="preserve">（正味現在価値）</t>
    </r>
  </si>
  <si>
    <t xml:space="preserve">現在価値（PV） − 開発費</t>
  </si>
  <si>
    <t xml:space="preserve">不確かさ・曖昧さ・複雑さ対応ログ</t>
  </si>
  <si>
    <t xml:space="preserve">「不確かさ」「曖昧さ」「複雑さ」はリスクとは別に、プロジェクトで積極的にマネジメントすべき対象です。事象を記録し、対応方法を検討・実施しましょう。</t>
  </si>
  <si>
    <t xml:space="preserve">事象・状況</t>
  </si>
  <si>
    <t xml:space="preserve">対応方法</t>
  </si>
  <si>
    <t xml:space="preserve">結果・フォローアップ</t>
  </si>
  <si>
    <t xml:space="preserve">不確かさ（理解・認識の欠如、予測不可能な状態）</t>
  </si>
  <si>
    <t xml:space="preserve">曖昧さ｜概念的（用語・コミュニケーションに起因）</t>
  </si>
  <si>
    <t xml:space="preserve">曖昧さ｜状況的（複数の選択肢が存在）</t>
  </si>
  <si>
    <t xml:space="preserve">複雑さ｜人の振る舞い</t>
  </si>
  <si>
    <t xml:space="preserve">複雑さ｜システムの振る舞い</t>
  </si>
  <si>
    <t xml:space="preserve">複雑さ｜技術革新</t>
  </si>
  <si>
    <t xml:space="preserve">【対応方法の参考】
不確かさ → 情報の収集／複数の結果に備える（バックアッププラン・セーフティマージン）／回復力を養う
概念的な曖昧さ → 用語のルール・定義の確立
状況的な曖昧さ → 段階的詳細化／実験／プロトタイプ
複雑さ → システムの分割／多様な視点の確保／シミュレーション（プロセスベース）</t>
  </si>
  <si>
    <t xml:space="preserve">テーラリング属性チェックリスト</t>
  </si>
  <si>
    <t xml:space="preserve">単一の開発アプローチでは、あらゆるプロジェクトに対応できません。「テーラリングする対象」と「プロジェクトに合わせた属性」を確認し、このプロジェクトに最適な進め方を検討しましょう。</t>
  </si>
  <si>
    <t xml:space="preserve">■ テーラリングする4つの対象</t>
  </si>
  <si>
    <t xml:space="preserve">対象</t>
  </si>
  <si>
    <t xml:space="preserve">検討内容（参考）</t>
  </si>
  <si>
    <t xml:space="preserve">検討状況</t>
  </si>
  <si>
    <t xml:space="preserve">このプロジェクトでの決定事項</t>
  </si>
  <si>
    <t xml:space="preserve">状況に応じたプロセスの追加・変更・削除（例：安全最優先なら独自の検査を追加）</t>
  </si>
  <si>
    <t xml:space="preserve">開発アプローチ</t>
  </si>
  <si>
    <t xml:space="preserve">プロジェクトの特性により予測型・ハイブリッド型・アジャイル型などを選択</t>
  </si>
  <si>
    <t xml:space="preserve">人のエンゲージメント</t>
  </si>
  <si>
    <t xml:space="preserve">納期が厳しい場合は経験豊富なメンバーを割り当て、与える権限を検討する</t>
  </si>
  <si>
    <t xml:space="preserve">ツールや文書・テンプレートの選定</t>
  </si>
  <si>
    <t xml:space="preserve">ソフトウェアや機器などのツール、利用する文書・テンプレートを選ぶ</t>
  </si>
  <si>
    <t xml:space="preserve">■ プロジェクトに合わせたテーラリングに関する属性</t>
  </si>
  <si>
    <r>
      <rPr>
        <i val="true"/>
        <sz val="9"/>
        <color rgb="FF666666"/>
        <rFont val="Arial"/>
        <family val="0"/>
        <charset val="1"/>
      </rPr>
      <t xml:space="preserve">PMBOK Guide</t>
    </r>
    <r>
      <rPr>
        <i val="true"/>
        <sz val="9"/>
        <color rgb="FF666666"/>
        <rFont val="Noto Sans CJK SC"/>
        <family val="2"/>
      </rPr>
      <t xml:space="preserve">では「プロダクト・成果物」「チーム」「文化」の</t>
    </r>
    <r>
      <rPr>
        <i val="true"/>
        <sz val="9"/>
        <color rgb="FF666666"/>
        <rFont val="Arial"/>
        <family val="0"/>
        <charset val="1"/>
      </rPr>
      <t xml:space="preserve">3</t>
    </r>
    <r>
      <rPr>
        <i val="true"/>
        <sz val="9"/>
        <color rgb="FF666666"/>
        <rFont val="Noto Sans CJK SC"/>
        <family val="2"/>
      </rPr>
      <t xml:space="preserve">領域の属性を確認するよう示しています。各属性についてこのプロジェクトの状況を記入しましょう。</t>
    </r>
  </si>
  <si>
    <t xml:space="preserve">領域</t>
  </si>
  <si>
    <t xml:space="preserve">属性</t>
  </si>
  <si>
    <t xml:space="preserve">確認内容（参考）</t>
  </si>
  <si>
    <t xml:space="preserve">このプロジェクトの状況</t>
  </si>
  <si>
    <t xml:space="preserve">プロダクト・成果物</t>
  </si>
  <si>
    <t xml:space="preserve">コンプライアンス・重大性</t>
  </si>
  <si>
    <t xml:space="preserve">どの程度のプロセスの厳格さと品質保証が適切か</t>
  </si>
  <si>
    <t xml:space="preserve">プロダクトのタイプ</t>
  </si>
  <si>
    <t xml:space="preserve">有形（ビル等）か、無形（ソフトウェア設計等）か</t>
  </si>
  <si>
    <t xml:space="preserve">業界市場</t>
  </si>
  <si>
    <t xml:space="preserve">提供先の市場、競合の存在、市場の変化や規制</t>
  </si>
  <si>
    <t xml:space="preserve">技術</t>
  </si>
  <si>
    <t xml:space="preserve">技術は安定しているか、進化するか</t>
  </si>
  <si>
    <t xml:space="preserve">期間</t>
  </si>
  <si>
    <t xml:space="preserve">プロジェクト期間の長さ</t>
  </si>
  <si>
    <t xml:space="preserve">要求事項の安定性</t>
  </si>
  <si>
    <t xml:space="preserve">要求事項の変化の可能性</t>
  </si>
  <si>
    <t xml:space="preserve">セキュリティ</t>
  </si>
  <si>
    <t xml:space="preserve">プロダクトの要素は営業秘密か、極秘扱いか</t>
  </si>
  <si>
    <t xml:space="preserve">漸進型提供</t>
  </si>
  <si>
    <t xml:space="preserve">漸進的にフィードバックを得られるか、ほぼ完了後の評価か</t>
  </si>
  <si>
    <t xml:space="preserve">チームの規模</t>
  </si>
  <si>
    <t xml:space="preserve">メンバーの人数</t>
  </si>
  <si>
    <t xml:space="preserve">チームの地理的要因</t>
  </si>
  <si>
    <t xml:space="preserve">主な所在地はどこか。リモートか同一の作業場所か</t>
  </si>
  <si>
    <t xml:space="preserve">組織の分散</t>
  </si>
  <si>
    <t xml:space="preserve">チームを支えるステークホルダーはどこにいるか</t>
  </si>
  <si>
    <t xml:space="preserve">チームの経験</t>
  </si>
  <si>
    <t xml:space="preserve">当該業界・組織における経験</t>
  </si>
  <si>
    <t xml:space="preserve">顧客へのアクセス</t>
  </si>
  <si>
    <t xml:space="preserve">顧客からのフィードバックはタイムリーで頻繁か</t>
  </si>
  <si>
    <t xml:space="preserve">賛同</t>
  </si>
  <si>
    <t xml:space="preserve">提案された実施アプローチは受け入れられ、支持されているか</t>
  </si>
  <si>
    <t xml:space="preserve">チームは高い信頼を得ているか</t>
  </si>
  <si>
    <t xml:space="preserve">作業環境・決定事項に責任を持ち、信頼され、サポートを受け、奨励されているか</t>
  </si>
  <si>
    <t xml:space="preserve">組織文化</t>
  </si>
  <si>
    <t xml:space="preserve">会社の文化として任せるのか、細かい指示を出しているのか</t>
  </si>
  <si>
    <t xml:space="preserve">■ 継続的な改善ログ</t>
  </si>
  <si>
    <t xml:space="preserve">フェーズゲートやレトロスペクティブを通じて、テーラリングの改善点を継続的に洗い出しましょう。</t>
  </si>
  <si>
    <t xml:space="preserve">手法（フェーズゲート/レトロスペクティブ）</t>
  </si>
  <si>
    <t xml:space="preserve">改善が特定された箇所</t>
  </si>
  <si>
    <t xml:space="preserve">対応アクション</t>
  </si>
  <si>
    <t xml:space="preserve">リーダーシップ・変革マネジメント活用シート</t>
  </si>
  <si>
    <r>
      <rPr>
        <i val="true"/>
        <sz val="9"/>
        <color rgb="FF666666"/>
        <rFont val="Arial"/>
        <family val="0"/>
        <charset val="1"/>
      </rPr>
      <t xml:space="preserve">PMBOK</t>
    </r>
    <r>
      <rPr>
        <i val="true"/>
        <sz val="9"/>
        <color rgb="FF666666"/>
        <rFont val="Noto Sans CJK SC"/>
        <family val="2"/>
      </rPr>
      <t xml:space="preserve">第</t>
    </r>
    <r>
      <rPr>
        <i val="true"/>
        <sz val="9"/>
        <color rgb="FF666666"/>
        <rFont val="Arial"/>
        <family val="0"/>
        <charset val="1"/>
      </rPr>
      <t xml:space="preserve">7</t>
    </r>
    <r>
      <rPr>
        <i val="true"/>
        <sz val="9"/>
        <color rgb="FF666666"/>
        <rFont val="Noto Sans CJK SC"/>
        <family val="2"/>
      </rPr>
      <t xml:space="preserve">版で紹介されるリーダーシップ・変革モデル（</t>
    </r>
    <r>
      <rPr>
        <i val="true"/>
        <sz val="9"/>
        <color rgb="FF666666"/>
        <rFont val="Arial"/>
        <family val="0"/>
        <charset val="1"/>
      </rPr>
      <t xml:space="preserve">SLII</t>
    </r>
    <r>
      <rPr>
        <i val="true"/>
        <sz val="9"/>
        <color rgb="FF666666"/>
        <rFont val="Noto Sans CJK SC"/>
        <family val="2"/>
      </rPr>
      <t xml:space="preserve">／</t>
    </r>
    <r>
      <rPr>
        <i val="true"/>
        <sz val="9"/>
        <color rgb="FF666666"/>
        <rFont val="Arial"/>
        <family val="0"/>
        <charset val="1"/>
      </rPr>
      <t xml:space="preserve">OSCAR</t>
    </r>
    <r>
      <rPr>
        <i val="true"/>
        <sz val="9"/>
        <color rgb="FF666666"/>
        <rFont val="Noto Sans CJK SC"/>
        <family val="2"/>
      </rPr>
      <t xml:space="preserve">／</t>
    </r>
    <r>
      <rPr>
        <i val="true"/>
        <sz val="9"/>
        <color rgb="FF666666"/>
        <rFont val="Arial"/>
        <family val="0"/>
        <charset val="1"/>
      </rPr>
      <t xml:space="preserve">ADKAR</t>
    </r>
    <r>
      <rPr>
        <i val="true"/>
        <sz val="9"/>
        <color rgb="FF666666"/>
        <rFont val="Noto Sans CJK SC"/>
        <family val="2"/>
      </rPr>
      <t xml:space="preserve">／コッターの</t>
    </r>
    <r>
      <rPr>
        <i val="true"/>
        <sz val="9"/>
        <color rgb="FF666666"/>
        <rFont val="Arial"/>
        <family val="0"/>
        <charset val="1"/>
      </rPr>
      <t xml:space="preserve">8</t>
    </r>
    <r>
      <rPr>
        <i val="true"/>
        <sz val="9"/>
        <color rgb="FF666666"/>
        <rFont val="Noto Sans CJK SC"/>
        <family val="2"/>
      </rPr>
      <t xml:space="preserve">段階／ステイシーマトリックス）を、実プロジェクトで活用するためのワークシートです。</t>
    </r>
  </si>
  <si>
    <r>
      <rPr>
        <b val="true"/>
        <sz val="10"/>
        <color rgb="FFFFFFFF"/>
        <rFont val="Arial"/>
        <family val="0"/>
        <charset val="1"/>
      </rPr>
      <t xml:space="preserve">■ SLII</t>
    </r>
    <r>
      <rPr>
        <b val="true"/>
        <sz val="10"/>
        <color rgb="FFFFFFFF"/>
        <rFont val="Noto Sans CJK SC"/>
        <family val="2"/>
      </rPr>
      <t xml:space="preserve">：メンバー別リーダーシップスタイル判定</t>
    </r>
  </si>
  <si>
    <t xml:space="preserve">メンバーの習熟度に応じて、S1指示型→S2コーチ型→S3支援型→S4委任型の順にスタイルを変化させます。</t>
  </si>
  <si>
    <t xml:space="preserve">メンバー名</t>
  </si>
  <si>
    <t xml:space="preserve">習熟度</t>
  </si>
  <si>
    <t xml:space="preserve">推奨リーダーシップスタイル</t>
  </si>
  <si>
    <t xml:space="preserve">具体的な関わり方・備考</t>
  </si>
  <si>
    <r>
      <rPr>
        <b val="true"/>
        <sz val="10"/>
        <color rgb="FFFFFFFF"/>
        <rFont val="Arial"/>
        <family val="0"/>
        <charset val="1"/>
      </rPr>
      <t xml:space="preserve">■ OSCAR</t>
    </r>
    <r>
      <rPr>
        <b val="true"/>
        <sz val="10"/>
        <color rgb="FFFFFFFF"/>
        <rFont val="Noto Sans CJK SC"/>
        <family val="2"/>
      </rPr>
      <t xml:space="preserve">モデル：コーチング行動計画</t>
    </r>
  </si>
  <si>
    <r>
      <rPr>
        <b val="true"/>
        <sz val="10"/>
        <rFont val="Arial"/>
        <family val="0"/>
        <charset val="1"/>
      </rPr>
      <t xml:space="preserve">Outcome</t>
    </r>
    <r>
      <rPr>
        <b val="true"/>
        <sz val="10"/>
        <rFont val="Noto Sans CJK SC"/>
        <family val="2"/>
      </rPr>
      <t xml:space="preserve">（成果）</t>
    </r>
  </si>
  <si>
    <t xml:space="preserve">目標の明確化</t>
  </si>
  <si>
    <r>
      <rPr>
        <b val="true"/>
        <sz val="10"/>
        <rFont val="Arial"/>
        <family val="0"/>
        <charset val="1"/>
      </rPr>
      <t xml:space="preserve">Situation</t>
    </r>
    <r>
      <rPr>
        <b val="true"/>
        <sz val="10"/>
        <rFont val="Noto Sans CJK SC"/>
        <family val="2"/>
      </rPr>
      <t xml:space="preserve">（状況）</t>
    </r>
  </si>
  <si>
    <t xml:space="preserve">現状の分析</t>
  </si>
  <si>
    <r>
      <rPr>
        <b val="true"/>
        <sz val="10"/>
        <rFont val="Arial"/>
        <family val="0"/>
        <charset val="1"/>
      </rPr>
      <t xml:space="preserve">Choice/Consequences</t>
    </r>
    <r>
      <rPr>
        <b val="true"/>
        <sz val="10"/>
        <rFont val="Noto Sans CJK SC"/>
        <family val="2"/>
      </rPr>
      <t xml:space="preserve">（選択肢</t>
    </r>
    <r>
      <rPr>
        <b val="true"/>
        <sz val="10"/>
        <rFont val="Arial"/>
        <family val="0"/>
        <charset val="1"/>
      </rPr>
      <t xml:space="preserve">/</t>
    </r>
    <r>
      <rPr>
        <b val="true"/>
        <sz val="10"/>
        <rFont val="Noto Sans CJK SC"/>
        <family val="2"/>
      </rPr>
      <t xml:space="preserve">因果関係）</t>
    </r>
  </si>
  <si>
    <t xml:space="preserve">実行可能な手段の選択</t>
  </si>
  <si>
    <r>
      <rPr>
        <b val="true"/>
        <sz val="10"/>
        <rFont val="Arial"/>
        <family val="0"/>
        <charset val="1"/>
      </rPr>
      <t xml:space="preserve">Action</t>
    </r>
    <r>
      <rPr>
        <b val="true"/>
        <sz val="10"/>
        <rFont val="Noto Sans CJK SC"/>
        <family val="2"/>
      </rPr>
      <t xml:space="preserve">（アクション）</t>
    </r>
  </si>
  <si>
    <t xml:space="preserve">具体的なゴール設定</t>
  </si>
  <si>
    <r>
      <rPr>
        <b val="true"/>
        <sz val="10"/>
        <rFont val="Arial"/>
        <family val="0"/>
        <charset val="1"/>
      </rPr>
      <t xml:space="preserve">Review</t>
    </r>
    <r>
      <rPr>
        <b val="true"/>
        <sz val="10"/>
        <rFont val="Noto Sans CJK SC"/>
        <family val="2"/>
      </rPr>
      <t xml:space="preserve">（レビュー）</t>
    </r>
  </si>
  <si>
    <t xml:space="preserve">結果の評価と調整</t>
  </si>
  <si>
    <r>
      <rPr>
        <b val="true"/>
        <sz val="10"/>
        <color rgb="FFFFFFFF"/>
        <rFont val="Arial"/>
        <family val="0"/>
        <charset val="1"/>
      </rPr>
      <t xml:space="preserve">■ ADKAR</t>
    </r>
    <r>
      <rPr>
        <b val="true"/>
        <sz val="10"/>
        <color rgb="FFFFFFFF"/>
        <rFont val="Noto Sans CJK SC"/>
        <family val="2"/>
      </rPr>
      <t xml:space="preserve">モデル：変革レディネス評価</t>
    </r>
  </si>
  <si>
    <t xml:space="preserve">対象者・グループごとに5段階（Awareness/Desire/Knowledge/Ability/Reinforcement）を1〜5で評価し、最も弱い工程（ボトルネック）を特定します。</t>
  </si>
  <si>
    <t xml:space="preserve">対象者/グループ</t>
  </si>
  <si>
    <r>
      <rPr>
        <b val="true"/>
        <sz val="11"/>
        <color rgb="FFFFFFFF"/>
        <rFont val="Arial"/>
        <family val="0"/>
        <charset val="1"/>
      </rPr>
      <t xml:space="preserve">A/D/K/A/R</t>
    </r>
    <r>
      <rPr>
        <b val="true"/>
        <sz val="11"/>
        <color rgb="FFFFFFFF"/>
        <rFont val="Noto Sans CJK SC"/>
        <family val="2"/>
      </rPr>
      <t xml:space="preserve">（各</t>
    </r>
    <r>
      <rPr>
        <b val="true"/>
        <sz val="11"/>
        <color rgb="FFFFFFFF"/>
        <rFont val="Arial"/>
        <family val="0"/>
        <charset val="1"/>
      </rPr>
      <t xml:space="preserve">1-5</t>
    </r>
    <r>
      <rPr>
        <b val="true"/>
        <sz val="11"/>
        <color rgb="FFFFFFFF"/>
        <rFont val="Noto Sans CJK SC"/>
        <family val="2"/>
      </rPr>
      <t xml:space="preserve">、カンマ区切り）</t>
    </r>
  </si>
  <si>
    <t xml:space="preserve">ボトルネック工程・対応</t>
  </si>
  <si>
    <r>
      <rPr>
        <i val="true"/>
        <sz val="9"/>
        <color rgb="FF666666"/>
        <rFont val="Arial"/>
        <family val="0"/>
        <charset val="1"/>
      </rPr>
      <t xml:space="preserve">※ A(</t>
    </r>
    <r>
      <rPr>
        <i val="true"/>
        <sz val="9"/>
        <color rgb="FF666666"/>
        <rFont val="Noto Sans CJK SC"/>
        <family val="2"/>
      </rPr>
      <t xml:space="preserve">認知</t>
    </r>
    <r>
      <rPr>
        <i val="true"/>
        <sz val="9"/>
        <color rgb="FF666666"/>
        <rFont val="Arial"/>
        <family val="0"/>
        <charset val="1"/>
      </rPr>
      <t xml:space="preserve">)/D(</t>
    </r>
    <r>
      <rPr>
        <i val="true"/>
        <sz val="9"/>
        <color rgb="FF666666"/>
        <rFont val="Noto Sans CJK SC"/>
        <family val="2"/>
      </rPr>
      <t xml:space="preserve">欲求</t>
    </r>
    <r>
      <rPr>
        <i val="true"/>
        <sz val="9"/>
        <color rgb="FF666666"/>
        <rFont val="Arial"/>
        <family val="0"/>
        <charset val="1"/>
      </rPr>
      <t xml:space="preserve">)/K(</t>
    </r>
    <r>
      <rPr>
        <i val="true"/>
        <sz val="9"/>
        <color rgb="FF666666"/>
        <rFont val="Noto Sans CJK SC"/>
        <family val="2"/>
      </rPr>
      <t xml:space="preserve">知識</t>
    </r>
    <r>
      <rPr>
        <i val="true"/>
        <sz val="9"/>
        <color rgb="FF666666"/>
        <rFont val="Arial"/>
        <family val="0"/>
        <charset val="1"/>
      </rPr>
      <t xml:space="preserve">)/A(</t>
    </r>
    <r>
      <rPr>
        <i val="true"/>
        <sz val="9"/>
        <color rgb="FF666666"/>
        <rFont val="Noto Sans CJK SC"/>
        <family val="2"/>
      </rPr>
      <t xml:space="preserve">能力</t>
    </r>
    <r>
      <rPr>
        <i val="true"/>
        <sz val="9"/>
        <color rgb="FF666666"/>
        <rFont val="Arial"/>
        <family val="0"/>
        <charset val="1"/>
      </rPr>
      <t xml:space="preserve">)/R(</t>
    </r>
    <r>
      <rPr>
        <i val="true"/>
        <sz val="9"/>
        <color rgb="FF666666"/>
        <rFont val="Noto Sans CJK SC"/>
        <family val="2"/>
      </rPr>
      <t xml:space="preserve">定着</t>
    </r>
    <r>
      <rPr>
        <i val="true"/>
        <sz val="9"/>
        <color rgb="FF666666"/>
        <rFont val="Arial"/>
        <family val="0"/>
        <charset val="1"/>
      </rPr>
      <t xml:space="preserve">) </t>
    </r>
    <r>
      <rPr>
        <i val="true"/>
        <sz val="9"/>
        <color rgb="FF666666"/>
        <rFont val="Noto Sans CJK SC"/>
        <family val="2"/>
      </rPr>
      <t xml:space="preserve">の</t>
    </r>
    <r>
      <rPr>
        <i val="true"/>
        <sz val="9"/>
        <color rgb="FF666666"/>
        <rFont val="Arial"/>
        <family val="0"/>
        <charset val="1"/>
      </rPr>
      <t xml:space="preserve">5</t>
    </r>
    <r>
      <rPr>
        <i val="true"/>
        <sz val="9"/>
        <color rgb="FF666666"/>
        <rFont val="Noto Sans CJK SC"/>
        <family val="2"/>
      </rPr>
      <t xml:space="preserve">段階。数値が低い工程から順に重点対応しましょう。</t>
    </r>
  </si>
  <si>
    <t xml:space="preserve">■ コッターの8段階モデル：進捗トラッカー</t>
  </si>
  <si>
    <t xml:space="preserve">段階</t>
  </si>
  <si>
    <r>
      <rPr>
        <b val="true"/>
        <sz val="10"/>
        <rFont val="Arial"/>
        <family val="0"/>
        <charset val="1"/>
      </rPr>
      <t xml:space="preserve">1. </t>
    </r>
    <r>
      <rPr>
        <b val="true"/>
        <sz val="10"/>
        <rFont val="Noto Sans CJK SC"/>
        <family val="2"/>
      </rPr>
      <t xml:space="preserve">危機意識を高める</t>
    </r>
  </si>
  <si>
    <r>
      <rPr>
        <b val="true"/>
        <sz val="10"/>
        <rFont val="Arial"/>
        <family val="0"/>
        <charset val="1"/>
      </rPr>
      <t xml:space="preserve">2. </t>
    </r>
    <r>
      <rPr>
        <b val="true"/>
        <sz val="10"/>
        <rFont val="Noto Sans CJK SC"/>
        <family val="2"/>
      </rPr>
      <t xml:space="preserve">強力な推進チームを結成</t>
    </r>
  </si>
  <si>
    <r>
      <rPr>
        <b val="true"/>
        <sz val="10"/>
        <rFont val="Arial"/>
        <family val="0"/>
        <charset val="1"/>
      </rPr>
      <t xml:space="preserve">3. </t>
    </r>
    <r>
      <rPr>
        <b val="true"/>
        <sz val="10"/>
        <rFont val="Noto Sans CJK SC"/>
        <family val="2"/>
      </rPr>
      <t xml:space="preserve">変革のビジョンを作る</t>
    </r>
  </si>
  <si>
    <r>
      <rPr>
        <b val="true"/>
        <sz val="10"/>
        <rFont val="Arial"/>
        <family val="0"/>
        <charset val="1"/>
      </rPr>
      <t xml:space="preserve">4. </t>
    </r>
    <r>
      <rPr>
        <b val="true"/>
        <sz val="10"/>
        <rFont val="Noto Sans CJK SC"/>
        <family val="2"/>
      </rPr>
      <t xml:space="preserve">ビジョンを周知徹底する</t>
    </r>
  </si>
  <si>
    <r>
      <rPr>
        <b val="true"/>
        <sz val="10"/>
        <rFont val="Arial"/>
        <family val="0"/>
        <charset val="1"/>
      </rPr>
      <t xml:space="preserve">5. </t>
    </r>
    <r>
      <rPr>
        <b val="true"/>
        <sz val="10"/>
        <rFont val="Noto Sans CJK SC"/>
        <family val="2"/>
      </rPr>
      <t xml:space="preserve">障害を取り除く</t>
    </r>
  </si>
  <si>
    <r>
      <rPr>
        <b val="true"/>
        <sz val="10"/>
        <rFont val="Arial"/>
        <family val="0"/>
        <charset val="1"/>
      </rPr>
      <t xml:space="preserve">6. </t>
    </r>
    <r>
      <rPr>
        <b val="true"/>
        <sz val="10"/>
        <rFont val="Noto Sans CJK SC"/>
        <family val="2"/>
      </rPr>
      <t xml:space="preserve">短期的な成果を実現する</t>
    </r>
  </si>
  <si>
    <r>
      <rPr>
        <b val="true"/>
        <sz val="10"/>
        <rFont val="Arial"/>
        <family val="0"/>
        <charset val="1"/>
      </rPr>
      <t xml:space="preserve">7. </t>
    </r>
    <r>
      <rPr>
        <b val="true"/>
        <sz val="10"/>
        <rFont val="Noto Sans CJK SC"/>
        <family val="2"/>
      </rPr>
      <t xml:space="preserve">変革の成果を活かす</t>
    </r>
  </si>
  <si>
    <r>
      <rPr>
        <b val="true"/>
        <sz val="10"/>
        <rFont val="Arial"/>
        <family val="0"/>
        <charset val="1"/>
      </rPr>
      <t xml:space="preserve">8. </t>
    </r>
    <r>
      <rPr>
        <b val="true"/>
        <sz val="10"/>
        <rFont val="Noto Sans CJK SC"/>
        <family val="2"/>
      </rPr>
      <t xml:space="preserve">企業文化に変革を定着させる</t>
    </r>
  </si>
  <si>
    <t xml:space="preserve">■ ステイシーマトリックス／カネヴィン簡易判定</t>
  </si>
  <si>
    <t xml:space="preserve">「要求事項の不確かさ」と「技術的能力の不確かさ」を評価すると、状況（単純／煩雑／複雑／混沌）の目安が自動判定されます。開発アプローチ選定（⑭シート）の参考にしてください。</t>
  </si>
  <si>
    <t xml:space="preserve">要求事項の不確かさ</t>
  </si>
  <si>
    <t xml:space="preserve">技術的能力の不確かさ</t>
  </si>
  <si>
    <t xml:space="preserve">判定される状況</t>
  </si>
  <si>
    <t xml:space="preserve">対応の方向性</t>
  </si>
  <si>
    <t xml:space="preserve">分析手法・成果物管理</t>
  </si>
  <si>
    <t xml:space="preserve">実業務でよく使う分析方法の実施ログ、アジャイルセレモニーの実施状況、プロジェクト作成物・計画書の整備状況をまとめて管理します。</t>
  </si>
  <si>
    <t xml:space="preserve">■ 分析方法 実施ログ</t>
  </si>
  <si>
    <t xml:space="preserve">分析方法</t>
  </si>
  <si>
    <t xml:space="preserve">対象・目的</t>
  </si>
  <si>
    <t xml:space="preserve">結果・わかったこと</t>
  </si>
  <si>
    <t xml:space="preserve">次のアクション</t>
  </si>
  <si>
    <t xml:space="preserve">■ アジャイルセレモニー実施状況</t>
  </si>
  <si>
    <t xml:space="preserve">セレモニー</t>
  </si>
  <si>
    <t xml:space="preserve">実施頻度</t>
  </si>
  <si>
    <t xml:space="preserve">実施状況</t>
  </si>
  <si>
    <t xml:space="preserve">バックログの洗練</t>
  </si>
  <si>
    <t xml:space="preserve">プロダクトバックログの優先順位付けを行う会議</t>
  </si>
  <si>
    <t xml:space="preserve">デイリースタンドアップ</t>
  </si>
  <si>
    <t xml:space="preserve">昨日・今日のことや課題を共有するイテレーション内の会議</t>
  </si>
  <si>
    <t xml:space="preserve">レトロスペクティブ</t>
  </si>
  <si>
    <t xml:space="preserve">イテレーションを振り返り、改善案を検討する会議</t>
  </si>
  <si>
    <t xml:space="preserve">タイムボックス</t>
  </si>
  <si>
    <t xml:space="preserve">会議などの時間枠をあらかじめ決めておくこと</t>
  </si>
  <si>
    <t xml:space="preserve">■ 主要なプロジェクト作成物チェックリスト</t>
  </si>
  <si>
    <t xml:space="preserve">作成物</t>
  </si>
  <si>
    <t xml:space="preserve">作成状況</t>
  </si>
  <si>
    <t xml:space="preserve">最終更新日</t>
  </si>
  <si>
    <t xml:space="preserve">プロジェクト憲章</t>
  </si>
  <si>
    <t xml:space="preserve">プロジェクトを正式に認可し、PMの権限を定義する</t>
  </si>
  <si>
    <t xml:space="preserve">リスク登録簿</t>
  </si>
  <si>
    <t xml:space="preserve">特定したリスクの分析結果や対応方法を記述する（⑦シート参照）</t>
  </si>
  <si>
    <t xml:space="preserve">パフォーマンス測定ベースライン</t>
  </si>
  <si>
    <t xml:space="preserve">承認されたスコープ、スケジュール、コストを統合した基準</t>
  </si>
  <si>
    <t xml:space="preserve">責任分担マトリックス（RAM）</t>
  </si>
  <si>
    <t xml:space="preserve">各人の役割（実行責任、説明責任など）を定義する</t>
  </si>
  <si>
    <t xml:space="preserve">■ プロジェクトマネジメント計画書 構成チェック</t>
  </si>
  <si>
    <t xml:space="preserve">プロジェクトマネジメント計画書は、ベースラインと各種個別計画書を統合した最上位の文書です。整備状況をチェックしましょう。</t>
  </si>
  <si>
    <t xml:space="preserve">区分</t>
  </si>
  <si>
    <t xml:space="preserve">構成要素</t>
  </si>
  <si>
    <t xml:space="preserve">整備状況</t>
  </si>
  <si>
    <t xml:space="preserve">参照先シート・ファイル</t>
  </si>
  <si>
    <t xml:space="preserve">ベースライン</t>
  </si>
  <si>
    <t xml:space="preserve">スコープ・ベースライン</t>
  </si>
  <si>
    <t xml:space="preserve">スケジュール・ベースライン</t>
  </si>
  <si>
    <t xml:space="preserve">コスト・ベースライン</t>
  </si>
  <si>
    <t xml:space="preserve">個別計画書</t>
  </si>
  <si>
    <t xml:space="preserve">変更管理計画書（⑧変更管理ログ 参照）</t>
  </si>
  <si>
    <t xml:space="preserve">コミュニケーション・マネジメント計画書（⑨情報の流れ 参照）</t>
  </si>
  <si>
    <t xml:space="preserve">品質マネジメント計画書（⑥品質管理 参照）</t>
  </si>
  <si>
    <t xml:space="preserve">資源マネジメント計画書</t>
  </si>
  <si>
    <t xml:space="preserve">リスクマネジメント計画書（⑦リスク・複雑さ管理 参照）</t>
  </si>
  <si>
    <t xml:space="preserve">調達マネジメント計画書（⑯プロジェクト作業・調達管理 参照）</t>
  </si>
  <si>
    <t xml:space="preserve">要求事項マネジメント計画書</t>
  </si>
  <si>
    <t xml:space="preserve">整備率</t>
  </si>
</sst>
</file>

<file path=xl/styles.xml><?xml version="1.0" encoding="utf-8"?>
<styleSheet xmlns="http://schemas.openxmlformats.org/spreadsheetml/2006/main">
  <numFmts count="7">
    <numFmt numFmtId="164" formatCode="General"/>
    <numFmt numFmtId="165" formatCode="0%"/>
    <numFmt numFmtId="166" formatCode="0.0"/>
    <numFmt numFmtId="167" formatCode="General"/>
    <numFmt numFmtId="168" formatCode="0.0%"/>
    <numFmt numFmtId="169" formatCode="0.00"/>
    <numFmt numFmtId="170" formatCode="#,##0"/>
  </numFmts>
  <fonts count="27">
    <font>
      <sz val="11"/>
      <color theme="1"/>
      <name val="Calibri"/>
      <family val="2"/>
      <charset val="1"/>
    </font>
    <font>
      <sz val="10"/>
      <name val="Arial"/>
      <family val="0"/>
    </font>
    <font>
      <sz val="10"/>
      <name val="Arial"/>
      <family val="0"/>
    </font>
    <font>
      <sz val="10"/>
      <name val="Arial"/>
      <family val="0"/>
    </font>
    <font>
      <b val="true"/>
      <sz val="16"/>
      <color rgb="FFD6336C"/>
      <name val="Noto Sans CJK SC"/>
      <family val="2"/>
      <charset val="1"/>
    </font>
    <font>
      <i val="true"/>
      <sz val="11"/>
      <color rgb="FF555555"/>
      <name val="Arial"/>
      <family val="0"/>
      <charset val="1"/>
    </font>
    <font>
      <i val="true"/>
      <sz val="11"/>
      <color rgb="FF555555"/>
      <name val="Noto Sans CJK SC"/>
      <family val="2"/>
    </font>
    <font>
      <b val="true"/>
      <sz val="10"/>
      <name val="Noto Sans CJK SC"/>
      <family val="2"/>
      <charset val="1"/>
    </font>
    <font>
      <sz val="10"/>
      <name val="Noto Sans CJK SC"/>
      <family val="2"/>
      <charset val="1"/>
    </font>
    <font>
      <sz val="11"/>
      <color theme="1"/>
      <name val="Noto Sans CJK SC"/>
      <family val="2"/>
      <charset val="1"/>
    </font>
    <font>
      <b val="true"/>
      <sz val="10"/>
      <name val="Arial"/>
      <family val="0"/>
      <charset val="1"/>
    </font>
    <font>
      <b val="true"/>
      <sz val="10"/>
      <name val="Noto Sans CJK SC"/>
      <family val="2"/>
    </font>
    <font>
      <sz val="10"/>
      <name val="Arial"/>
      <family val="0"/>
      <charset val="1"/>
    </font>
    <font>
      <sz val="10"/>
      <name val="Noto Sans CJK SC"/>
      <family val="2"/>
    </font>
    <font>
      <sz val="10"/>
      <color rgb="FF0000FF"/>
      <name val="Arial"/>
      <family val="0"/>
      <charset val="1"/>
    </font>
    <font>
      <b val="true"/>
      <sz val="10"/>
      <color rgb="FFFFFFFF"/>
      <name val="Arial"/>
      <family val="0"/>
      <charset val="1"/>
    </font>
    <font>
      <b val="true"/>
      <sz val="10"/>
      <color rgb="FFFFFFFF"/>
      <name val="Noto Sans CJK SC"/>
      <family val="2"/>
    </font>
    <font>
      <i val="true"/>
      <sz val="9"/>
      <color rgb="FF666666"/>
      <name val="Noto Sans CJK SC"/>
      <family val="2"/>
      <charset val="1"/>
    </font>
    <font>
      <b val="true"/>
      <sz val="11"/>
      <color rgb="FFFFFFFF"/>
      <name val="Noto Sans CJK SC"/>
      <family val="2"/>
      <charset val="1"/>
    </font>
    <font>
      <b val="true"/>
      <sz val="10"/>
      <color rgb="FFFFFFFF"/>
      <name val="Noto Sans CJK SC"/>
      <family val="2"/>
      <charset val="1"/>
    </font>
    <font>
      <b val="true"/>
      <sz val="16"/>
      <color rgb="FFD6336C"/>
      <name val="Arial"/>
      <family val="0"/>
      <charset val="1"/>
    </font>
    <font>
      <b val="true"/>
      <sz val="16"/>
      <color rgb="FFD6336C"/>
      <name val="Noto Sans CJK SC"/>
      <family val="2"/>
    </font>
    <font>
      <i val="true"/>
      <sz val="9"/>
      <color rgb="FF666666"/>
      <name val="Arial"/>
      <family val="0"/>
      <charset val="1"/>
    </font>
    <font>
      <i val="true"/>
      <sz val="9"/>
      <color rgb="FF666666"/>
      <name val="Noto Sans CJK SC"/>
      <family val="2"/>
    </font>
    <font>
      <b val="true"/>
      <sz val="11"/>
      <color rgb="FFFFFFFF"/>
      <name val="Arial"/>
      <family val="0"/>
      <charset val="1"/>
    </font>
    <font>
      <sz val="9"/>
      <color rgb="FF444444"/>
      <name val="Noto Sans CJK SC"/>
      <family val="2"/>
      <charset val="1"/>
    </font>
    <font>
      <b val="true"/>
      <sz val="11"/>
      <color rgb="FFFFFFFF"/>
      <name val="Noto Sans CJK SC"/>
      <family val="2"/>
    </font>
  </fonts>
  <fills count="7">
    <fill>
      <patternFill patternType="none"/>
    </fill>
    <fill>
      <patternFill patternType="gray125"/>
    </fill>
    <fill>
      <patternFill patternType="solid">
        <fgColor rgb="FFFCE4EC"/>
        <bgColor rgb="FFF1F3F5"/>
      </patternFill>
    </fill>
    <fill>
      <patternFill patternType="solid">
        <fgColor rgb="FFFFF9C4"/>
        <bgColor rgb="FFF1F3F5"/>
      </patternFill>
    </fill>
    <fill>
      <patternFill patternType="solid">
        <fgColor rgb="FFF783AC"/>
        <bgColor rgb="FFF4A9A9"/>
      </patternFill>
    </fill>
    <fill>
      <patternFill patternType="solid">
        <fgColor rgb="FFD6336C"/>
        <bgColor rgb="FF993366"/>
      </patternFill>
    </fill>
    <fill>
      <patternFill patternType="solid">
        <fgColor rgb="FFF1F3F5"/>
        <bgColor rgb="FFFFFFFF"/>
      </patternFill>
    </fill>
  </fills>
  <borders count="3">
    <border diagonalUp="false" diagonalDown="false">
      <left/>
      <right/>
      <top/>
      <bottom/>
      <diagonal/>
    </border>
    <border diagonalUp="false" diagonalDown="false">
      <left style="thin">
        <color rgb="FFBBBBBB"/>
      </left>
      <right style="thin">
        <color rgb="FFBBBBBB"/>
      </right>
      <top style="thin">
        <color rgb="FFBBBBBB"/>
      </top>
      <bottom style="thin">
        <color rgb="FFBBBBBB"/>
      </bottom>
      <diagonal/>
    </border>
    <border diagonalUp="false" diagonalDown="false">
      <left/>
      <right style="thin">
        <color rgb="FFBBBBBB"/>
      </right>
      <top style="thin">
        <color rgb="FFBBBBBB"/>
      </top>
      <bottom style="thin">
        <color rgb="FFBBBBB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left" vertical="top" textRotation="0" wrapText="true" indent="0" shrinkToFit="false"/>
      <protection locked="true" hidden="false"/>
    </xf>
    <xf numFmtId="164" fontId="9" fillId="3"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left" vertical="top" textRotation="0" wrapText="true" indent="0" shrinkToFit="false"/>
      <protection locked="true" hidden="false"/>
    </xf>
    <xf numFmtId="164" fontId="11"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11" fillId="2" borderId="0" xfId="0" applyFont="true" applyBorder="false" applyAlignment="true" applyProtection="false">
      <alignment horizontal="general" vertical="bottom" textRotation="0" wrapText="false" indent="0" shrinkToFit="false"/>
      <protection locked="true" hidden="false"/>
    </xf>
    <xf numFmtId="164" fontId="13" fillId="2" borderId="0" xfId="0" applyFont="true" applyBorder="false" applyAlignment="true" applyProtection="false">
      <alignment horizontal="left" vertical="top" textRotation="0" wrapText="tru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left" vertical="top" textRotation="0" wrapText="true" indent="0" shrinkToFit="false"/>
      <protection locked="true" hidden="false"/>
    </xf>
    <xf numFmtId="164" fontId="7" fillId="2" borderId="1" xfId="0" applyFont="true" applyBorder="true" applyAlignment="true" applyProtection="false">
      <alignment horizontal="general" vertical="bottom" textRotation="0" wrapText="false" indent="0" shrinkToFit="false"/>
      <protection locked="true" hidden="false"/>
    </xf>
    <xf numFmtId="164" fontId="14" fillId="3" borderId="1" xfId="0" applyFont="true" applyBorder="true" applyAlignment="true" applyProtection="false">
      <alignment horizontal="general" vertical="bottom" textRotation="0" wrapText="false" indent="0" shrinkToFit="false"/>
      <protection locked="true" hidden="false"/>
    </xf>
    <xf numFmtId="164" fontId="14" fillId="3" borderId="1" xfId="0" applyFont="true" applyBorder="true" applyAlignment="true" applyProtection="false">
      <alignment horizontal="left" vertical="top" textRotation="0" wrapText="true" indent="0" shrinkToFit="false"/>
      <protection locked="true" hidden="false"/>
    </xf>
    <xf numFmtId="164" fontId="15" fillId="4" borderId="0" xfId="0" applyFont="true" applyBorder="tru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left" vertical="top" textRotation="0" wrapText="true" indent="0" shrinkToFit="false"/>
      <protection locked="true" hidden="false"/>
    </xf>
    <xf numFmtId="164" fontId="18" fillId="5"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bottom" textRotation="0" wrapText="false" indent="0" shrinkToFit="false"/>
      <protection locked="true" hidden="false"/>
    </xf>
    <xf numFmtId="164" fontId="14" fillId="3" borderId="1" xfId="0" applyFont="true" applyBorder="true" applyAlignment="true" applyProtection="false">
      <alignment horizontal="center" vertical="center" textRotation="0" wrapText="true" indent="0" shrinkToFit="false"/>
      <protection locked="true" hidden="false"/>
    </xf>
    <xf numFmtId="164" fontId="19" fillId="4" borderId="0" xfId="0" applyFont="true" applyBorder="true" applyAlignment="true" applyProtection="false">
      <alignment horizontal="general" vertical="bottom" textRotation="0" wrapText="false" indent="0" shrinkToFit="false"/>
      <protection locked="true" hidden="false"/>
    </xf>
    <xf numFmtId="164" fontId="20" fillId="0" borderId="0" xfId="0" applyFont="true" applyBorder="true" applyAlignment="true" applyProtection="false">
      <alignment horizontal="general" vertical="bottom" textRotation="0" wrapText="false" indent="0" shrinkToFit="false"/>
      <protection locked="true" hidden="false"/>
    </xf>
    <xf numFmtId="164" fontId="17" fillId="0" borderId="0" xfId="0" applyFont="true" applyBorder="true" applyAlignment="true" applyProtection="false">
      <alignment horizontal="left" vertical="top" textRotation="0" wrapText="true" indent="0" shrinkToFit="false"/>
      <protection locked="true" hidden="false"/>
    </xf>
    <xf numFmtId="164" fontId="12" fillId="0" borderId="1" xfId="0" applyFont="true" applyBorder="true" applyAlignment="true" applyProtection="false">
      <alignment horizontal="center" vertical="center" textRotation="0" wrapText="true" indent="0" shrinkToFit="false"/>
      <protection locked="true" hidden="false"/>
    </xf>
    <xf numFmtId="164" fontId="22" fillId="0" borderId="0" xfId="0" applyFont="true" applyBorder="true" applyAlignment="true" applyProtection="false">
      <alignment horizontal="left" vertical="top" textRotation="0" wrapText="tru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4" fontId="0" fillId="0" borderId="1" xfId="0" applyFont="false" applyBorder="true" applyAlignment="true" applyProtection="false">
      <alignment horizontal="general" vertical="bottom" textRotation="0" wrapText="false" indent="0" shrinkToFit="false"/>
      <protection locked="true" hidden="false"/>
    </xf>
    <xf numFmtId="164" fontId="19" fillId="4" borderId="1" xfId="0" applyFont="true" applyBorder="true" applyAlignment="true" applyProtection="false">
      <alignment horizontal="left" vertical="top" textRotation="0" wrapText="true" indent="0" shrinkToFit="false"/>
      <protection locked="true" hidden="false"/>
    </xf>
    <xf numFmtId="164" fontId="17" fillId="6" borderId="0" xfId="0" applyFont="true" applyBorder="false" applyAlignment="true" applyProtection="false">
      <alignment horizontal="general" vertical="bottom" textRotation="0" wrapText="false" indent="0" shrinkToFit="false"/>
      <protection locked="true" hidden="false"/>
    </xf>
    <xf numFmtId="164" fontId="17" fillId="6" borderId="0" xfId="0" applyFont="true" applyBorder="false" applyAlignment="true" applyProtection="false">
      <alignment horizontal="left" vertical="top" textRotation="0" wrapText="tru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4" fontId="22" fillId="6" borderId="0" xfId="0" applyFont="true" applyBorder="false" applyAlignment="true" applyProtection="false">
      <alignment horizontal="left" vertical="top" textRotation="0" wrapText="true" indent="0" shrinkToFit="false"/>
      <protection locked="true" hidden="false"/>
    </xf>
    <xf numFmtId="165" fontId="14" fillId="3" borderId="1" xfId="0" applyFont="true" applyBorder="true" applyAlignment="true" applyProtection="false">
      <alignment horizontal="center" vertical="center" textRotation="0" wrapText="true" indent="0" shrinkToFit="false"/>
      <protection locked="true" hidden="false"/>
    </xf>
    <xf numFmtId="164" fontId="7" fillId="2" borderId="0" xfId="0" applyFont="true" applyBorder="true" applyAlignment="true" applyProtection="false">
      <alignment horizontal="general" vertical="bottom" textRotation="0" wrapText="false" indent="0" shrinkToFit="false"/>
      <protection locked="true" hidden="false"/>
    </xf>
    <xf numFmtId="165" fontId="10" fillId="2" borderId="0" xfId="0" applyFont="true" applyBorder="false" applyAlignment="true" applyProtection="false">
      <alignment horizontal="center" vertical="center" textRotation="0" wrapText="true" indent="0" shrinkToFit="false"/>
      <protection locked="true" hidden="false"/>
    </xf>
    <xf numFmtId="164" fontId="10" fillId="2" borderId="0" xfId="0" applyFont="true" applyBorder="false" applyAlignment="true" applyProtection="false">
      <alignment horizontal="center" vertical="center" textRotation="0" wrapText="true" indent="0" shrinkToFit="false"/>
      <protection locked="true" hidden="false"/>
    </xf>
    <xf numFmtId="164" fontId="7" fillId="2" borderId="1" xfId="0" applyFont="true" applyBorder="true" applyAlignment="true" applyProtection="false">
      <alignment horizontal="left" vertical="top" textRotation="0" wrapText="true" indent="0" shrinkToFit="false"/>
      <protection locked="true" hidden="false"/>
    </xf>
    <xf numFmtId="164" fontId="17" fillId="0" borderId="1" xfId="0" applyFont="true" applyBorder="true" applyAlignment="true" applyProtection="false">
      <alignment horizontal="left" vertical="top" textRotation="0" wrapText="true" indent="0" shrinkToFit="false"/>
      <protection locked="true" hidden="false"/>
    </xf>
    <xf numFmtId="164" fontId="0" fillId="0" borderId="0" xfId="0" applyFont="false" applyBorder="true" applyAlignment="true" applyProtection="false">
      <alignment horizontal="general" vertical="bottom" textRotation="0" wrapText="false" indent="0" shrinkToFit="false"/>
      <protection locked="true" hidden="false"/>
    </xf>
    <xf numFmtId="164" fontId="0" fillId="0" borderId="2" xfId="0" applyFont="false" applyBorder="true" applyAlignment="tru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center" vertical="center" textRotation="0" wrapText="true" indent="0" shrinkToFit="false"/>
      <protection locked="true" hidden="false"/>
    </xf>
    <xf numFmtId="164" fontId="19" fillId="4" borderId="0" xfId="0" applyFont="true" applyBorder="true" applyAlignment="true" applyProtection="false">
      <alignment horizontal="left" vertical="top" textRotation="0" wrapText="true" indent="0" shrinkToFit="false"/>
      <protection locked="true" hidden="false"/>
    </xf>
    <xf numFmtId="164" fontId="14" fillId="3" borderId="0" xfId="0" applyFont="true" applyBorder="true" applyAlignment="true" applyProtection="false">
      <alignment horizontal="left" vertical="top" textRotation="0" wrapText="true" indent="0" shrinkToFit="false"/>
      <protection locked="true" hidden="false"/>
    </xf>
    <xf numFmtId="164" fontId="24" fillId="5" borderId="1" xfId="0" applyFont="true" applyBorder="true" applyAlignment="true" applyProtection="false">
      <alignment horizontal="center" vertical="center" textRotation="0" wrapText="true" indent="0" shrinkToFit="false"/>
      <protection locked="true" hidden="false"/>
    </xf>
    <xf numFmtId="164" fontId="25" fillId="0" borderId="1" xfId="0" applyFont="true" applyBorder="true" applyAlignment="true" applyProtection="false">
      <alignment horizontal="left" vertical="top" textRotation="0" wrapText="true" indent="0" shrinkToFit="false"/>
      <protection locked="true" hidden="false"/>
    </xf>
    <xf numFmtId="166" fontId="10" fillId="2" borderId="0" xfId="0" applyFont="true" applyBorder="false" applyAlignment="true" applyProtection="false">
      <alignment horizontal="center" vertical="center" textRotation="0" wrapText="tru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7" fontId="10" fillId="0" borderId="1" xfId="0" applyFont="true" applyBorder="true" applyAlignment="true" applyProtection="false">
      <alignment horizontal="center" vertical="center" textRotation="0" wrapText="tru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7" fontId="10" fillId="3" borderId="1" xfId="0" applyFont="true" applyBorder="true" applyAlignment="true" applyProtection="false">
      <alignment horizontal="center" vertical="center" textRotation="0" wrapText="true" indent="0" shrinkToFit="false"/>
      <protection locked="true" hidden="false"/>
    </xf>
    <xf numFmtId="168" fontId="10" fillId="2" borderId="0" xfId="0" applyFont="true" applyBorder="false" applyAlignment="true" applyProtection="false">
      <alignment horizontal="center" vertical="center" textRotation="0" wrapText="true" indent="0" shrinkToFit="false"/>
      <protection locked="true" hidden="false"/>
    </xf>
    <xf numFmtId="164" fontId="10" fillId="2" borderId="1" xfId="0" applyFont="true" applyBorder="true" applyAlignment="true" applyProtection="false">
      <alignment horizontal="general" vertical="bottom" textRotation="0" wrapText="false" indent="0" shrinkToFit="false"/>
      <protection locked="true" hidden="false"/>
    </xf>
    <xf numFmtId="169" fontId="10" fillId="0" borderId="1" xfId="0" applyFont="true" applyBorder="true" applyAlignment="true" applyProtection="false">
      <alignment horizontal="center" vertical="center" textRotation="0" wrapText="true" indent="0" shrinkToFit="false"/>
      <protection locked="true" hidden="false"/>
    </xf>
    <xf numFmtId="164" fontId="17" fillId="0" borderId="0" xfId="0" applyFont="true" applyBorder="true" applyAlignment="true" applyProtection="false">
      <alignment horizontal="general" vertical="bottom" textRotation="0" wrapText="false" indent="0" shrinkToFit="false"/>
      <protection locked="true" hidden="false"/>
    </xf>
    <xf numFmtId="168" fontId="10" fillId="0" borderId="1" xfId="0" applyFont="true" applyBorder="true" applyAlignment="true" applyProtection="false">
      <alignment horizontal="center" vertical="center" textRotation="0" wrapText="true" indent="0" shrinkToFit="false"/>
      <protection locked="true" hidden="false"/>
    </xf>
    <xf numFmtId="168" fontId="14" fillId="3" borderId="1" xfId="0" applyFont="true" applyBorder="true" applyAlignment="true" applyProtection="false">
      <alignment horizontal="center" vertical="center" textRotation="0" wrapText="true" indent="0" shrinkToFit="false"/>
      <protection locked="true" hidden="false"/>
    </xf>
    <xf numFmtId="170" fontId="10" fillId="0" borderId="1" xfId="0" applyFont="true" applyBorder="true" applyAlignment="true" applyProtection="false">
      <alignment horizontal="center" vertical="center" textRotation="0" wrapText="true" indent="0" shrinkToFit="false"/>
      <protection locked="true" hidden="false"/>
    </xf>
    <xf numFmtId="170" fontId="10" fillId="3" borderId="1" xfId="0" applyFont="true" applyBorder="true" applyAlignment="true" applyProtection="false">
      <alignment horizontal="center" vertical="center" textRotation="0" wrapText="true" indent="0" shrinkToFit="false"/>
      <protection locked="true" hidden="false"/>
    </xf>
    <xf numFmtId="164" fontId="10" fillId="2" borderId="1" xfId="0" applyFont="true" applyBorder="true" applyAlignment="true" applyProtection="false">
      <alignment horizontal="left" vertical="top" textRotation="0" wrapText="tru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bgColor rgb="FFC6E0B4"/>
        </patternFill>
      </fill>
    </dxf>
    <dxf>
      <fill>
        <patternFill>
          <bgColor rgb="FFF4A9A9"/>
        </patternFill>
      </fill>
    </dxf>
    <dxf>
      <fill>
        <patternFill>
          <bgColor rgb="FFFFE699"/>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BBBBB"/>
      <rgbColor rgb="FF808080"/>
      <rgbColor rgb="FF9999FF"/>
      <rgbColor rgb="FFD6336C"/>
      <rgbColor rgb="FFFFF9C4"/>
      <rgbColor rgb="FFF1F3F5"/>
      <rgbColor rgb="FF660066"/>
      <rgbColor rgb="FFF783AC"/>
      <rgbColor rgb="FF0066CC"/>
      <rgbColor rgb="FFFCE4EC"/>
      <rgbColor rgb="FF000080"/>
      <rgbColor rgb="FFFF00FF"/>
      <rgbColor rgb="FFFFFF00"/>
      <rgbColor rgb="FF00FFFF"/>
      <rgbColor rgb="FF800080"/>
      <rgbColor rgb="FF800000"/>
      <rgbColor rgb="FF008080"/>
      <rgbColor rgb="FF0000FF"/>
      <rgbColor rgb="FF00CCFF"/>
      <rgbColor rgb="FFCCFFFF"/>
      <rgbColor rgb="FFC6E0B4"/>
      <rgbColor rgb="FFFFE699"/>
      <rgbColor rgb="FF99CCFF"/>
      <rgbColor rgb="FFF4A9A9"/>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555555"/>
      <rgbColor rgb="FF4444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3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30"/>
    <col collapsed="false" customWidth="true" hidden="false" outlineLevel="0" max="3" min="3" style="1" width="70"/>
    <col collapsed="false" customWidth="true" hidden="false" outlineLevel="0" max="4" min="4" style="1" width="3"/>
  </cols>
  <sheetData>
    <row r="2" customFormat="false" ht="19.5" hidden="false" customHeight="true" outlineLevel="0" collapsed="false">
      <c r="B2" s="2" t="s">
        <v>0</v>
      </c>
      <c r="C2" s="2"/>
    </row>
    <row r="3" customFormat="false" ht="16.5" hidden="false" customHeight="true" outlineLevel="0" collapsed="false">
      <c r="B3" s="3" t="s">
        <v>1</v>
      </c>
    </row>
    <row r="5" customFormat="false" ht="15" hidden="false" customHeight="true" outlineLevel="0" collapsed="false">
      <c r="B5" s="4" t="s">
        <v>2</v>
      </c>
      <c r="C5" s="5"/>
    </row>
    <row r="6" customFormat="false" ht="39.75" hidden="false" customHeight="true" outlineLevel="0" collapsed="false">
      <c r="B6" s="6" t="s">
        <v>3</v>
      </c>
      <c r="C6" s="7" t="s">
        <v>4</v>
      </c>
    </row>
    <row r="7" customFormat="false" ht="39.75" hidden="false" customHeight="true" outlineLevel="0" collapsed="false">
      <c r="B7" s="6" t="s">
        <v>5</v>
      </c>
      <c r="C7" s="7" t="s">
        <v>6</v>
      </c>
    </row>
    <row r="8" customFormat="false" ht="39.75" hidden="false" customHeight="true" outlineLevel="0" collapsed="false">
      <c r="B8" s="6" t="s">
        <v>7</v>
      </c>
      <c r="C8" s="7" t="s">
        <v>8</v>
      </c>
    </row>
    <row r="9" customFormat="false" ht="15" hidden="false" customHeight="true" outlineLevel="0" collapsed="false">
      <c r="B9" s="8" t="s">
        <v>3</v>
      </c>
    </row>
    <row r="11" customFormat="false" ht="15" hidden="false" customHeight="true" outlineLevel="0" collapsed="false">
      <c r="B11" s="4" t="s">
        <v>9</v>
      </c>
      <c r="C11" s="5"/>
    </row>
    <row r="12" customFormat="false" ht="15" hidden="false" customHeight="true" outlineLevel="0" collapsed="false">
      <c r="B12" s="6" t="s">
        <v>10</v>
      </c>
      <c r="C12" s="7" t="s">
        <v>11</v>
      </c>
    </row>
    <row r="13" customFormat="false" ht="15" hidden="false" customHeight="true" outlineLevel="0" collapsed="false">
      <c r="B13" s="9" t="s">
        <v>12</v>
      </c>
      <c r="C13" s="7" t="s">
        <v>13</v>
      </c>
    </row>
    <row r="14" customFormat="false" ht="15" hidden="false" customHeight="true" outlineLevel="0" collapsed="false">
      <c r="B14" s="6" t="s">
        <v>14</v>
      </c>
      <c r="C14" s="7" t="s">
        <v>15</v>
      </c>
    </row>
    <row r="15" customFormat="false" ht="15" hidden="false" customHeight="true" outlineLevel="0" collapsed="false">
      <c r="B15" s="6" t="s">
        <v>16</v>
      </c>
      <c r="C15" s="7" t="s">
        <v>17</v>
      </c>
    </row>
    <row r="16" customFormat="false" ht="15" hidden="false" customHeight="true" outlineLevel="0" collapsed="false">
      <c r="B16" s="9" t="s">
        <v>18</v>
      </c>
      <c r="C16" s="7" t="s">
        <v>19</v>
      </c>
    </row>
    <row r="17" customFormat="false" ht="15" hidden="false" customHeight="true" outlineLevel="0" collapsed="false">
      <c r="B17" s="6" t="s">
        <v>20</v>
      </c>
      <c r="C17" s="7" t="s">
        <v>21</v>
      </c>
    </row>
    <row r="18" customFormat="false" ht="15" hidden="false" customHeight="true" outlineLevel="0" collapsed="false">
      <c r="B18" s="6" t="s">
        <v>22</v>
      </c>
      <c r="C18" s="7" t="s">
        <v>23</v>
      </c>
    </row>
    <row r="19" customFormat="false" ht="15" hidden="false" customHeight="true" outlineLevel="0" collapsed="false">
      <c r="B19" s="6" t="s">
        <v>24</v>
      </c>
      <c r="C19" s="7" t="s">
        <v>25</v>
      </c>
    </row>
    <row r="20" customFormat="false" ht="15" hidden="false" customHeight="true" outlineLevel="0" collapsed="false">
      <c r="B20" s="6" t="s">
        <v>26</v>
      </c>
      <c r="C20" s="7" t="s">
        <v>27</v>
      </c>
    </row>
    <row r="21" customFormat="false" ht="15" hidden="false" customHeight="true" outlineLevel="0" collapsed="false">
      <c r="B21" s="9" t="s">
        <v>28</v>
      </c>
      <c r="C21" s="10" t="s">
        <v>29</v>
      </c>
    </row>
    <row r="22" customFormat="false" ht="15" hidden="false" customHeight="true" outlineLevel="0" collapsed="false">
      <c r="B22" s="6" t="s">
        <v>30</v>
      </c>
      <c r="C22" s="7" t="s">
        <v>31</v>
      </c>
    </row>
    <row r="23" customFormat="false" ht="15" hidden="false" customHeight="true" outlineLevel="0" collapsed="false">
      <c r="B23" s="4" t="s">
        <v>32</v>
      </c>
      <c r="C23" s="5"/>
    </row>
    <row r="24" customFormat="false" ht="27.75" hidden="false" customHeight="true" outlineLevel="0" collapsed="false">
      <c r="B24" s="6" t="s">
        <v>33</v>
      </c>
      <c r="C24" s="7" t="s">
        <v>34</v>
      </c>
    </row>
    <row r="25" customFormat="false" ht="27.75" hidden="false" customHeight="true" outlineLevel="0" collapsed="false">
      <c r="B25" s="6" t="s">
        <v>35</v>
      </c>
      <c r="C25" s="7" t="s">
        <v>36</v>
      </c>
    </row>
    <row r="26" customFormat="false" ht="27.75" hidden="false" customHeight="true" outlineLevel="0" collapsed="false">
      <c r="B26" s="6" t="s">
        <v>37</v>
      </c>
      <c r="C26" s="10" t="s">
        <v>38</v>
      </c>
    </row>
    <row r="27" customFormat="false" ht="27.75" hidden="false" customHeight="true" outlineLevel="0" collapsed="false">
      <c r="B27" s="6" t="s">
        <v>39</v>
      </c>
      <c r="C27" s="7" t="s">
        <v>40</v>
      </c>
    </row>
    <row r="28" customFormat="false" ht="27.75" hidden="false" customHeight="true" outlineLevel="0" collapsed="false">
      <c r="B28" s="6" t="s">
        <v>41</v>
      </c>
      <c r="C28" s="7" t="s">
        <v>42</v>
      </c>
    </row>
    <row r="29" customFormat="false" ht="27.75" hidden="false" customHeight="true" outlineLevel="0" collapsed="false">
      <c r="B29" s="6" t="s">
        <v>43</v>
      </c>
      <c r="C29" s="7" t="s">
        <v>44</v>
      </c>
    </row>
    <row r="30" customFormat="false" ht="27.75" hidden="false" customHeight="true" outlineLevel="0" collapsed="false">
      <c r="B30" s="6" t="s">
        <v>45</v>
      </c>
      <c r="C30" s="10" t="s">
        <v>46</v>
      </c>
    </row>
    <row r="31" customFormat="false" ht="27.75" hidden="false" customHeight="true" outlineLevel="0" collapsed="false">
      <c r="B31" s="6" t="s">
        <v>47</v>
      </c>
      <c r="C31" s="7" t="s">
        <v>48</v>
      </c>
    </row>
    <row r="32" customFormat="false" ht="15" hidden="false" customHeight="false" outlineLevel="0" collapsed="false">
      <c r="B32" s="11" t="s">
        <v>49</v>
      </c>
      <c r="C32" s="12"/>
    </row>
    <row r="33" customFormat="false" ht="39.75" hidden="false" customHeight="true" outlineLevel="0" collapsed="false">
      <c r="B33" s="13" t="s">
        <v>50</v>
      </c>
      <c r="C33" s="14" t="s">
        <v>51</v>
      </c>
    </row>
    <row r="34" customFormat="false" ht="39.75" hidden="false" customHeight="true" outlineLevel="0" collapsed="false">
      <c r="B34" s="15" t="s">
        <v>52</v>
      </c>
      <c r="C34" s="10" t="s">
        <v>53</v>
      </c>
    </row>
    <row r="35" customFormat="false" ht="39.75" hidden="false" customHeight="true" outlineLevel="0" collapsed="false">
      <c r="B35" s="16" t="s">
        <v>54</v>
      </c>
      <c r="C35" s="17" t="s">
        <v>55</v>
      </c>
    </row>
  </sheetData>
  <mergeCells count="1">
    <mergeCell ref="B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40"/>
    <col collapsed="false" customWidth="true" hidden="false" outlineLevel="0" max="4" min="3" style="1" width="22"/>
  </cols>
  <sheetData>
    <row r="1" customFormat="false" ht="19.5" hidden="false" customHeight="true" outlineLevel="0" collapsed="false">
      <c r="A1" s="2" t="s">
        <v>56</v>
      </c>
      <c r="B1" s="2"/>
      <c r="C1" s="2"/>
      <c r="D1" s="2"/>
    </row>
    <row r="3" customFormat="false" ht="15" hidden="false" customHeight="true" outlineLevel="0" collapsed="false">
      <c r="A3" s="18" t="s">
        <v>57</v>
      </c>
      <c r="B3" s="19"/>
      <c r="C3" s="19"/>
      <c r="D3" s="19"/>
    </row>
    <row r="4" customFormat="false" ht="15" hidden="false" customHeight="true" outlineLevel="0" collapsed="false">
      <c r="A4" s="18" t="s">
        <v>58</v>
      </c>
      <c r="B4" s="19"/>
      <c r="C4" s="19"/>
      <c r="D4" s="19"/>
    </row>
    <row r="5" customFormat="false" ht="15" hidden="false" customHeight="true" outlineLevel="0" collapsed="false">
      <c r="A5" s="18" t="s">
        <v>59</v>
      </c>
      <c r="B5" s="19"/>
      <c r="C5" s="19"/>
      <c r="D5" s="19"/>
    </row>
    <row r="6" customFormat="false" ht="15" hidden="false" customHeight="true" outlineLevel="0" collapsed="false">
      <c r="A6" s="18" t="s">
        <v>60</v>
      </c>
      <c r="B6" s="19"/>
      <c r="C6" s="19"/>
      <c r="D6" s="19"/>
    </row>
    <row r="7" customFormat="false" ht="15" hidden="false" customHeight="true" outlineLevel="0" collapsed="false">
      <c r="A7" s="18" t="s">
        <v>61</v>
      </c>
      <c r="B7" s="19"/>
      <c r="C7" s="19"/>
      <c r="D7" s="19"/>
    </row>
    <row r="8" customFormat="false" ht="30" hidden="false" customHeight="true" outlineLevel="0" collapsed="false">
      <c r="A8" s="18" t="s">
        <v>62</v>
      </c>
      <c r="B8" s="20"/>
      <c r="C8" s="20"/>
      <c r="D8" s="20"/>
    </row>
    <row r="9" customFormat="false" ht="15" hidden="false" customHeight="true" outlineLevel="0" collapsed="false">
      <c r="A9" s="18" t="s">
        <v>63</v>
      </c>
      <c r="B9" s="19"/>
      <c r="C9" s="19"/>
      <c r="D9" s="19"/>
    </row>
    <row r="10" customFormat="false" ht="15" hidden="false" customHeight="true" outlineLevel="0" collapsed="false">
      <c r="A10" s="18" t="s">
        <v>64</v>
      </c>
      <c r="B10" s="19"/>
      <c r="C10" s="19"/>
      <c r="D10" s="19"/>
    </row>
    <row r="12" customFormat="false" ht="15" hidden="false" customHeight="true" outlineLevel="0" collapsed="false">
      <c r="A12" s="21" t="s">
        <v>65</v>
      </c>
      <c r="B12" s="21"/>
      <c r="C12" s="21"/>
      <c r="D12" s="21"/>
    </row>
    <row r="13" customFormat="false" ht="77.25" hidden="false" customHeight="true" outlineLevel="0" collapsed="false">
      <c r="A13" s="22" t="s">
        <v>66</v>
      </c>
    </row>
    <row r="14" customFormat="false" ht="16.5" hidden="false" customHeight="true" outlineLevel="0" collapsed="false">
      <c r="A14" s="23" t="s">
        <v>67</v>
      </c>
      <c r="B14" s="23" t="s">
        <v>68</v>
      </c>
      <c r="C14" s="23" t="s">
        <v>69</v>
      </c>
      <c r="D14" s="23"/>
    </row>
    <row r="15" customFormat="false" ht="15" hidden="false" customHeight="true" outlineLevel="0" collapsed="false">
      <c r="A15" s="24" t="s">
        <v>70</v>
      </c>
      <c r="B15" s="25"/>
      <c r="C15" s="19"/>
      <c r="D15" s="19"/>
    </row>
    <row r="16" customFormat="false" ht="15" hidden="false" customHeight="true" outlineLevel="0" collapsed="false">
      <c r="A16" s="24" t="s">
        <v>71</v>
      </c>
      <c r="B16" s="25"/>
      <c r="C16" s="19"/>
      <c r="D16" s="19"/>
    </row>
    <row r="17" customFormat="false" ht="15" hidden="false" customHeight="true" outlineLevel="0" collapsed="false">
      <c r="A17" s="24" t="s">
        <v>72</v>
      </c>
      <c r="B17" s="25"/>
      <c r="C17" s="19"/>
      <c r="D17" s="19"/>
    </row>
    <row r="19" customFormat="false" ht="15" hidden="false" customHeight="true" outlineLevel="0" collapsed="false">
      <c r="A19" s="26" t="s">
        <v>73</v>
      </c>
      <c r="B19" s="26"/>
      <c r="C19" s="26"/>
      <c r="D19" s="26"/>
    </row>
    <row r="20" customFormat="false" ht="15" hidden="false" customHeight="true" outlineLevel="0" collapsed="false">
      <c r="A20" s="18" t="s">
        <v>74</v>
      </c>
      <c r="B20" s="19"/>
      <c r="C20" s="19"/>
      <c r="D20" s="19"/>
    </row>
  </sheetData>
  <mergeCells count="15">
    <mergeCell ref="A1:D1"/>
    <mergeCell ref="B3:D3"/>
    <mergeCell ref="B4:D4"/>
    <mergeCell ref="B5:D5"/>
    <mergeCell ref="B6:D6"/>
    <mergeCell ref="B7:D7"/>
    <mergeCell ref="B8:D8"/>
    <mergeCell ref="B9:D9"/>
    <mergeCell ref="B10:D10"/>
    <mergeCell ref="A12:D12"/>
    <mergeCell ref="C15:D15"/>
    <mergeCell ref="C16:D16"/>
    <mergeCell ref="C17:D17"/>
    <mergeCell ref="A19:D19"/>
    <mergeCell ref="B20:D20"/>
  </mergeCells>
  <dataValidations count="2">
    <dataValidation allowBlank="true" errorStyle="stop" operator="between" showDropDown="false" showErrorMessage="false" showInputMessage="false" sqref="B15:B17" type="list">
      <formula1>"1,2,3"</formula1>
      <formula2>0</formula2>
    </dataValidation>
    <dataValidation allowBlank="true" errorStyle="stop" operator="between" showDropDown="false" showErrorMessage="false" showInputMessage="false" sqref="B20" type="list">
      <formula1>"予測型（ウォーターフォール）,適応型（アジャイル）,ハイブリッド型"</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2" min="2" style="1" width="30"/>
    <col collapsed="false" customWidth="true" hidden="false" outlineLevel="0" max="4" min="3" style="1" width="24"/>
    <col collapsed="false" customWidth="true" hidden="false" outlineLevel="0" max="5" min="5" style="1" width="14"/>
    <col collapsed="false" customWidth="true" hidden="false" outlineLevel="0" max="6" min="6" style="1" width="30"/>
  </cols>
  <sheetData>
    <row r="1" customFormat="false" ht="23.25" hidden="false" customHeight="true" outlineLevel="0" collapsed="false">
      <c r="A1" s="27" t="s">
        <v>75</v>
      </c>
      <c r="B1" s="27"/>
      <c r="C1" s="27"/>
      <c r="D1" s="27"/>
      <c r="E1" s="27"/>
      <c r="F1" s="27"/>
    </row>
    <row r="2" customFormat="false" ht="15" hidden="false" customHeight="true" outlineLevel="0" collapsed="false">
      <c r="A2" s="28" t="s">
        <v>76</v>
      </c>
      <c r="B2" s="28"/>
      <c r="C2" s="28"/>
      <c r="D2" s="28"/>
      <c r="E2" s="28"/>
      <c r="F2" s="28"/>
    </row>
    <row r="4" customFormat="false" ht="16.5" hidden="false" customHeight="true" outlineLevel="0" collapsed="false">
      <c r="A4" s="23" t="s">
        <v>67</v>
      </c>
      <c r="B4" s="23" t="s">
        <v>77</v>
      </c>
      <c r="C4" s="23" t="s">
        <v>78</v>
      </c>
      <c r="D4" s="23" t="s">
        <v>79</v>
      </c>
      <c r="E4" s="23" t="s">
        <v>80</v>
      </c>
      <c r="F4" s="23" t="s">
        <v>81</v>
      </c>
    </row>
    <row r="5" customFormat="false" ht="31.5" hidden="false" customHeight="true" outlineLevel="0" collapsed="false">
      <c r="A5" s="18" t="s">
        <v>82</v>
      </c>
      <c r="B5" s="20"/>
      <c r="C5" s="20"/>
      <c r="D5" s="20"/>
      <c r="E5" s="29" t="str">
        <f aca="false">IF(①プロジェクト概要!B7="","",①プロジェクト概要!B7)</f>
        <v/>
      </c>
      <c r="F5" s="20"/>
    </row>
    <row r="6" customFormat="false" ht="31.5" hidden="false" customHeight="true" outlineLevel="0" collapsed="false">
      <c r="A6" s="18" t="s">
        <v>71</v>
      </c>
      <c r="B6" s="20"/>
      <c r="C6" s="20"/>
      <c r="D6" s="20"/>
      <c r="E6" s="29" t="str">
        <f aca="false">IF(①プロジェクト概要!B8="","",①プロジェクト概要!B8)</f>
        <v/>
      </c>
      <c r="F6" s="20"/>
    </row>
    <row r="7" customFormat="false" ht="31.5" hidden="false" customHeight="true" outlineLevel="0" collapsed="false">
      <c r="A7" s="18" t="s">
        <v>83</v>
      </c>
      <c r="B7" s="20"/>
      <c r="C7" s="20"/>
      <c r="D7" s="20"/>
      <c r="E7" s="29" t="str">
        <f aca="false">IF(①プロジェクト概要!B9="","",①プロジェクト概要!B9)</f>
        <v/>
      </c>
      <c r="F7" s="20"/>
    </row>
    <row r="9" customFormat="false" ht="64.5" hidden="false" customHeight="true" outlineLevel="0" collapsed="false">
      <c r="A9" s="22" t="s">
        <v>84</v>
      </c>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1" width="20"/>
    <col collapsed="false" customWidth="true" hidden="false" outlineLevel="0" max="3" min="3" style="1" width="22"/>
    <col collapsed="false" customWidth="true" hidden="false" outlineLevel="0" max="4" min="4" style="1" width="12"/>
    <col collapsed="false" customWidth="true" hidden="false" outlineLevel="0" max="5" min="5" style="1" width="16"/>
    <col collapsed="false" customWidth="true" hidden="false" outlineLevel="0" max="6" min="6" style="1" width="14"/>
    <col collapsed="false" customWidth="true" hidden="false" outlineLevel="0" max="7" min="7" style="1" width="22"/>
    <col collapsed="false" customWidth="true" hidden="false" outlineLevel="0" max="8" min="8" style="1" width="24"/>
  </cols>
  <sheetData>
    <row r="1" customFormat="false" ht="19.5" hidden="false" customHeight="true" outlineLevel="0" collapsed="false">
      <c r="A1" s="2" t="s">
        <v>85</v>
      </c>
      <c r="B1" s="2"/>
      <c r="C1" s="2"/>
      <c r="D1" s="2"/>
      <c r="E1" s="2"/>
      <c r="F1" s="2"/>
      <c r="G1" s="2"/>
      <c r="H1" s="2"/>
    </row>
    <row r="2" customFormat="false" ht="15" hidden="false" customHeight="true" outlineLevel="0" collapsed="false">
      <c r="A2" s="30" t="s">
        <v>86</v>
      </c>
      <c r="B2" s="30"/>
      <c r="C2" s="30"/>
      <c r="D2" s="30"/>
      <c r="E2" s="30"/>
      <c r="F2" s="30"/>
      <c r="G2" s="30"/>
      <c r="H2" s="30"/>
    </row>
    <row r="4" customFormat="false" ht="33.75" hidden="false" customHeight="true" outlineLevel="0" collapsed="false">
      <c r="A4" s="23" t="s">
        <v>87</v>
      </c>
      <c r="B4" s="23" t="s">
        <v>88</v>
      </c>
      <c r="C4" s="23" t="s">
        <v>89</v>
      </c>
      <c r="D4" s="23" t="s">
        <v>90</v>
      </c>
      <c r="E4" s="23" t="s">
        <v>91</v>
      </c>
      <c r="F4" s="23" t="s">
        <v>92</v>
      </c>
      <c r="G4" s="23" t="s">
        <v>93</v>
      </c>
      <c r="H4" s="23" t="s">
        <v>94</v>
      </c>
    </row>
    <row r="5" customFormat="false" ht="29.25" hidden="false" customHeight="true" outlineLevel="0" collapsed="false">
      <c r="A5" s="31" t="s">
        <v>95</v>
      </c>
      <c r="B5" s="20"/>
      <c r="C5" s="20"/>
      <c r="D5" s="20"/>
      <c r="E5" s="20"/>
      <c r="F5" s="20"/>
      <c r="G5" s="20"/>
      <c r="H5" s="20"/>
    </row>
    <row r="6" customFormat="false" ht="29.25" hidden="false" customHeight="true" outlineLevel="0" collapsed="false">
      <c r="A6" s="31" t="s">
        <v>96</v>
      </c>
      <c r="B6" s="20"/>
      <c r="C6" s="20"/>
      <c r="D6" s="20"/>
      <c r="E6" s="20"/>
      <c r="F6" s="20"/>
      <c r="G6" s="20"/>
      <c r="H6" s="20"/>
    </row>
    <row r="7" customFormat="false" ht="29.25" hidden="false" customHeight="true" outlineLevel="0" collapsed="false">
      <c r="A7" s="31" t="s">
        <v>97</v>
      </c>
      <c r="B7" s="20"/>
      <c r="C7" s="20"/>
      <c r="D7" s="20"/>
      <c r="E7" s="20"/>
      <c r="F7" s="20"/>
      <c r="G7" s="20"/>
      <c r="H7" s="20"/>
    </row>
    <row r="8" customFormat="false" ht="15" hidden="false" customHeight="true" outlineLevel="0" collapsed="false">
      <c r="A8" s="31" t="s">
        <v>98</v>
      </c>
      <c r="B8" s="20"/>
      <c r="C8" s="20"/>
      <c r="D8" s="20"/>
      <c r="E8" s="20"/>
      <c r="F8" s="20"/>
      <c r="G8" s="20"/>
      <c r="H8" s="20"/>
    </row>
    <row r="9" customFormat="false" ht="15" hidden="false" customHeight="true" outlineLevel="0" collapsed="false">
      <c r="A9" s="31" t="s">
        <v>99</v>
      </c>
      <c r="B9" s="20"/>
      <c r="C9" s="20"/>
      <c r="D9" s="20"/>
      <c r="E9" s="20"/>
      <c r="F9" s="20"/>
      <c r="G9" s="20"/>
      <c r="H9" s="20"/>
    </row>
    <row r="10" customFormat="false" ht="15" hidden="false" customHeight="true" outlineLevel="0" collapsed="false">
      <c r="A10" s="31" t="s">
        <v>100</v>
      </c>
      <c r="B10" s="20"/>
      <c r="C10" s="20"/>
      <c r="D10" s="20"/>
      <c r="E10" s="20"/>
      <c r="F10" s="20"/>
      <c r="G10" s="20"/>
      <c r="H10" s="20"/>
    </row>
    <row r="11" customFormat="false" ht="15" hidden="false" customHeight="true" outlineLevel="0" collapsed="false">
      <c r="A11" s="31" t="s">
        <v>101</v>
      </c>
      <c r="B11" s="20"/>
      <c r="C11" s="20"/>
      <c r="D11" s="20"/>
      <c r="E11" s="20"/>
      <c r="F11" s="20"/>
      <c r="G11" s="20"/>
      <c r="H11" s="20"/>
    </row>
    <row r="12" customFormat="false" ht="15" hidden="false" customHeight="true" outlineLevel="0" collapsed="false">
      <c r="A12" s="31" t="s">
        <v>102</v>
      </c>
      <c r="B12" s="20"/>
      <c r="C12" s="20"/>
      <c r="D12" s="20"/>
      <c r="E12" s="20"/>
      <c r="F12" s="20"/>
      <c r="G12" s="20"/>
      <c r="H12" s="20"/>
    </row>
    <row r="13" customFormat="false" ht="15" hidden="false" customHeight="true" outlineLevel="0" collapsed="false">
      <c r="A13" s="31" t="s">
        <v>103</v>
      </c>
      <c r="B13" s="20"/>
      <c r="C13" s="20"/>
      <c r="D13" s="20"/>
      <c r="E13" s="20"/>
      <c r="F13" s="20"/>
      <c r="G13" s="20"/>
      <c r="H13" s="20"/>
    </row>
    <row r="14" customFormat="false" ht="15" hidden="false" customHeight="true" outlineLevel="0" collapsed="false">
      <c r="A14" s="31" t="s">
        <v>104</v>
      </c>
      <c r="B14" s="20"/>
      <c r="C14" s="20"/>
      <c r="D14" s="20"/>
      <c r="E14" s="20"/>
      <c r="F14" s="20"/>
      <c r="G14" s="20"/>
      <c r="H14" s="20"/>
    </row>
    <row r="15" customFormat="false" ht="15" hidden="false" customHeight="true" outlineLevel="0" collapsed="false">
      <c r="A15" s="32"/>
      <c r="B15" s="19"/>
      <c r="C15" s="19"/>
      <c r="D15" s="19"/>
      <c r="E15" s="19"/>
      <c r="F15" s="19"/>
      <c r="G15" s="19"/>
      <c r="H15" s="19"/>
    </row>
    <row r="16" customFormat="false" ht="15" hidden="false" customHeight="true" outlineLevel="0" collapsed="false">
      <c r="A16" s="32"/>
      <c r="B16" s="19"/>
      <c r="C16" s="19"/>
      <c r="D16" s="19"/>
      <c r="E16" s="19"/>
      <c r="F16" s="19"/>
      <c r="G16" s="19"/>
      <c r="H16" s="19"/>
    </row>
    <row r="17" customFormat="false" ht="15" hidden="false" customHeight="true" outlineLevel="0" collapsed="false">
      <c r="A17" s="32"/>
      <c r="B17" s="19"/>
      <c r="C17" s="19"/>
      <c r="D17" s="19"/>
      <c r="E17" s="19"/>
      <c r="F17" s="19"/>
      <c r="G17" s="19"/>
      <c r="H17" s="19"/>
    </row>
    <row r="18" customFormat="false" ht="15" hidden="false" customHeight="true" outlineLevel="0" collapsed="false">
      <c r="A18" s="32"/>
      <c r="B18" s="19"/>
      <c r="C18" s="19"/>
      <c r="D18" s="19"/>
      <c r="E18" s="19"/>
      <c r="F18" s="19"/>
      <c r="G18" s="19"/>
      <c r="H18" s="19"/>
    </row>
    <row r="19" customFormat="false" ht="15" hidden="false" customHeight="true" outlineLevel="0" collapsed="false">
      <c r="A19" s="32"/>
      <c r="B19" s="19"/>
      <c r="C19" s="19"/>
      <c r="D19" s="19"/>
      <c r="E19" s="19"/>
      <c r="F19" s="19"/>
      <c r="G19" s="19"/>
      <c r="H19" s="19"/>
    </row>
  </sheetData>
  <mergeCells count="2">
    <mergeCell ref="A1:H1"/>
    <mergeCell ref="A2:H2"/>
  </mergeCells>
  <dataValidations count="2">
    <dataValidation allowBlank="true" errorStyle="stop" operator="between" showDropDown="false" showErrorMessage="false" showInputMessage="false" sqref="D5:D14" type="list">
      <formula1>"高,中,低"</formula1>
      <formula2>0</formula2>
    </dataValidation>
    <dataValidation allowBlank="true" errorStyle="stop" operator="between" showDropDown="false" showErrorMessage="false" showInputMessage="false" sqref="F5:F14" type="list">
      <formula1>"随時,毎日,週次,隔週,月次,マイルストーン時のみ"</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0"/>
    <col collapsed="false" customWidth="true" hidden="false" outlineLevel="0" max="2" min="2" style="1" width="55"/>
  </cols>
  <sheetData>
    <row r="1" customFormat="false" ht="23.25" hidden="false" customHeight="true" outlineLevel="0" collapsed="false">
      <c r="A1" s="2" t="s">
        <v>105</v>
      </c>
      <c r="B1" s="2"/>
    </row>
    <row r="2" customFormat="false" ht="26.25" hidden="false" customHeight="true" outlineLevel="0" collapsed="false">
      <c r="A2" s="28" t="s">
        <v>106</v>
      </c>
      <c r="B2" s="28"/>
    </row>
    <row r="4" customFormat="false" ht="19.5" hidden="false" customHeight="true" outlineLevel="0" collapsed="false">
      <c r="A4" s="33" t="s">
        <v>107</v>
      </c>
    </row>
    <row r="5" customFormat="false" ht="43.5" hidden="false" customHeight="true" outlineLevel="0" collapsed="false">
      <c r="A5" s="34" t="s">
        <v>108</v>
      </c>
      <c r="B5" s="35" t="s">
        <v>109</v>
      </c>
    </row>
    <row r="6" customFormat="false" ht="69.75" hidden="false" customHeight="true" outlineLevel="0" collapsed="false">
      <c r="A6" s="36" t="s">
        <v>110</v>
      </c>
      <c r="B6" s="20"/>
    </row>
    <row r="8" customFormat="false" ht="19.5" hidden="false" customHeight="true" outlineLevel="0" collapsed="false">
      <c r="A8" s="33" t="s">
        <v>111</v>
      </c>
    </row>
    <row r="9" customFormat="false" ht="43.5" hidden="false" customHeight="true" outlineLevel="0" collapsed="false">
      <c r="A9" s="34" t="s">
        <v>108</v>
      </c>
      <c r="B9" s="35" t="s">
        <v>112</v>
      </c>
    </row>
    <row r="10" customFormat="false" ht="69.75" hidden="false" customHeight="true" outlineLevel="0" collapsed="false">
      <c r="A10" s="36" t="s">
        <v>110</v>
      </c>
      <c r="B10" s="20"/>
    </row>
    <row r="12" customFormat="false" ht="19.5" hidden="false" customHeight="true" outlineLevel="0" collapsed="false">
      <c r="A12" s="33" t="s">
        <v>113</v>
      </c>
    </row>
    <row r="13" customFormat="false" ht="43.5" hidden="false" customHeight="true" outlineLevel="0" collapsed="false">
      <c r="A13" s="34" t="s">
        <v>108</v>
      </c>
      <c r="B13" s="37" t="s">
        <v>114</v>
      </c>
    </row>
    <row r="14" customFormat="false" ht="69.75" hidden="false" customHeight="true" outlineLevel="0" collapsed="false">
      <c r="A14" s="36" t="s">
        <v>110</v>
      </c>
      <c r="B14" s="20"/>
    </row>
  </sheetData>
  <mergeCells count="2">
    <mergeCell ref="A1:B1"/>
    <mergeCell ref="A2:B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28"/>
    <col collapsed="false" customWidth="true" hidden="false" outlineLevel="0" max="3" min="3" style="1" width="14"/>
    <col collapsed="false" customWidth="true" hidden="false" outlineLevel="0" max="6" min="4" style="1" width="12"/>
    <col collapsed="false" customWidth="true" hidden="false" outlineLevel="0" max="7" min="7" style="1" width="14"/>
    <col collapsed="false" customWidth="true" hidden="false" outlineLevel="0" max="8" min="8" style="1" width="12"/>
    <col collapsed="false" customWidth="true" hidden="false" outlineLevel="0" max="9" min="9" style="1" width="26"/>
  </cols>
  <sheetData>
    <row r="1" customFormat="false" ht="23.25" hidden="false" customHeight="true" outlineLevel="0" collapsed="false">
      <c r="A1" s="27" t="s">
        <v>115</v>
      </c>
      <c r="B1" s="27"/>
      <c r="C1" s="27"/>
      <c r="D1" s="27"/>
      <c r="E1" s="27"/>
      <c r="F1" s="27"/>
      <c r="G1" s="27"/>
      <c r="H1" s="27"/>
      <c r="I1" s="27"/>
    </row>
    <row r="2" customFormat="false" ht="15" hidden="false" customHeight="true" outlineLevel="0" collapsed="false">
      <c r="A2" s="28" t="s">
        <v>116</v>
      </c>
      <c r="B2" s="28"/>
      <c r="C2" s="28"/>
      <c r="D2" s="28"/>
      <c r="E2" s="28"/>
      <c r="F2" s="28"/>
      <c r="G2" s="28"/>
      <c r="H2" s="28"/>
      <c r="I2" s="28"/>
    </row>
    <row r="4" customFormat="false" ht="29.25" hidden="false" customHeight="true" outlineLevel="0" collapsed="false">
      <c r="A4" s="23" t="s">
        <v>117</v>
      </c>
      <c r="B4" s="23" t="s">
        <v>118</v>
      </c>
      <c r="C4" s="23" t="s">
        <v>119</v>
      </c>
      <c r="D4" s="23" t="s">
        <v>60</v>
      </c>
      <c r="E4" s="23" t="s">
        <v>120</v>
      </c>
      <c r="F4" s="23" t="s">
        <v>121</v>
      </c>
      <c r="G4" s="23" t="s">
        <v>122</v>
      </c>
      <c r="H4" s="23" t="s">
        <v>123</v>
      </c>
      <c r="I4" s="23" t="s">
        <v>69</v>
      </c>
    </row>
    <row r="5" customFormat="false" ht="15" hidden="false" customHeight="true" outlineLevel="0" collapsed="false">
      <c r="A5" s="29" t="s">
        <v>124</v>
      </c>
      <c r="B5" s="20"/>
      <c r="C5" s="20"/>
      <c r="D5" s="20"/>
      <c r="E5" s="20"/>
      <c r="F5" s="25"/>
      <c r="G5" s="38"/>
      <c r="H5" s="20"/>
      <c r="I5" s="20"/>
    </row>
    <row r="6" customFormat="false" ht="15" hidden="false" customHeight="true" outlineLevel="0" collapsed="false">
      <c r="A6" s="29" t="s">
        <v>125</v>
      </c>
      <c r="B6" s="20"/>
      <c r="C6" s="20"/>
      <c r="D6" s="20"/>
      <c r="E6" s="20"/>
      <c r="F6" s="25"/>
      <c r="G6" s="38"/>
      <c r="H6" s="20"/>
      <c r="I6" s="20"/>
    </row>
    <row r="7" customFormat="false" ht="15" hidden="false" customHeight="true" outlineLevel="0" collapsed="false">
      <c r="A7" s="29" t="s">
        <v>126</v>
      </c>
      <c r="B7" s="20"/>
      <c r="C7" s="20"/>
      <c r="D7" s="20"/>
      <c r="E7" s="20"/>
      <c r="F7" s="25"/>
      <c r="G7" s="38"/>
      <c r="H7" s="20"/>
      <c r="I7" s="20"/>
    </row>
    <row r="8" customFormat="false" ht="15" hidden="false" customHeight="true" outlineLevel="0" collapsed="false">
      <c r="A8" s="29" t="s">
        <v>127</v>
      </c>
      <c r="B8" s="20"/>
      <c r="C8" s="20"/>
      <c r="D8" s="20"/>
      <c r="E8" s="20"/>
      <c r="F8" s="25"/>
      <c r="G8" s="38"/>
      <c r="H8" s="20"/>
      <c r="I8" s="20"/>
    </row>
    <row r="9" customFormat="false" ht="15" hidden="false" customHeight="true" outlineLevel="0" collapsed="false">
      <c r="A9" s="29" t="s">
        <v>128</v>
      </c>
      <c r="B9" s="20"/>
      <c r="C9" s="20"/>
      <c r="D9" s="20"/>
      <c r="E9" s="20"/>
      <c r="F9" s="25"/>
      <c r="G9" s="38"/>
      <c r="H9" s="20"/>
      <c r="I9" s="20"/>
    </row>
    <row r="10" customFormat="false" ht="15" hidden="false" customHeight="true" outlineLevel="0" collapsed="false">
      <c r="A10" s="29" t="s">
        <v>129</v>
      </c>
      <c r="B10" s="20"/>
      <c r="C10" s="20"/>
      <c r="D10" s="20"/>
      <c r="E10" s="20"/>
      <c r="F10" s="25"/>
      <c r="G10" s="38"/>
      <c r="H10" s="20"/>
      <c r="I10" s="20"/>
    </row>
    <row r="11" customFormat="false" ht="15" hidden="false" customHeight="true" outlineLevel="0" collapsed="false">
      <c r="A11" s="29" t="s">
        <v>130</v>
      </c>
      <c r="B11" s="20"/>
      <c r="C11" s="20"/>
      <c r="D11" s="20"/>
      <c r="E11" s="20"/>
      <c r="F11" s="25"/>
      <c r="G11" s="38"/>
      <c r="H11" s="20"/>
      <c r="I11" s="20"/>
    </row>
    <row r="12" customFormat="false" ht="15" hidden="false" customHeight="true" outlineLevel="0" collapsed="false">
      <c r="A12" s="29" t="s">
        <v>131</v>
      </c>
      <c r="B12" s="20"/>
      <c r="C12" s="20"/>
      <c r="D12" s="20"/>
      <c r="E12" s="20"/>
      <c r="F12" s="25"/>
      <c r="G12" s="38"/>
      <c r="H12" s="20"/>
      <c r="I12" s="20"/>
    </row>
    <row r="13" customFormat="false" ht="15" hidden="false" customHeight="true" outlineLevel="0" collapsed="false">
      <c r="A13" s="29" t="s">
        <v>132</v>
      </c>
      <c r="B13" s="20"/>
      <c r="C13" s="20"/>
      <c r="D13" s="20"/>
      <c r="E13" s="20"/>
      <c r="F13" s="25"/>
      <c r="G13" s="38"/>
      <c r="H13" s="20"/>
      <c r="I13" s="20"/>
    </row>
    <row r="14" customFormat="false" ht="15" hidden="false" customHeight="true" outlineLevel="0" collapsed="false">
      <c r="A14" s="29" t="s">
        <v>133</v>
      </c>
      <c r="B14" s="20"/>
      <c r="C14" s="20"/>
      <c r="D14" s="20"/>
      <c r="E14" s="20"/>
      <c r="F14" s="25"/>
      <c r="G14" s="38"/>
      <c r="H14" s="20"/>
      <c r="I14" s="20"/>
    </row>
    <row r="15" customFormat="false" ht="15" hidden="false" customHeight="true" outlineLevel="0" collapsed="false">
      <c r="A15" s="29" t="s">
        <v>134</v>
      </c>
      <c r="B15" s="20"/>
      <c r="C15" s="20"/>
      <c r="D15" s="20"/>
      <c r="E15" s="20"/>
      <c r="F15" s="25"/>
      <c r="G15" s="38"/>
      <c r="H15" s="20"/>
      <c r="I15" s="20"/>
    </row>
    <row r="16" customFormat="false" ht="15" hidden="false" customHeight="true" outlineLevel="0" collapsed="false">
      <c r="A16" s="29" t="s">
        <v>135</v>
      </c>
      <c r="B16" s="20"/>
      <c r="C16" s="20"/>
      <c r="D16" s="20"/>
      <c r="E16" s="20"/>
      <c r="F16" s="25"/>
      <c r="G16" s="38"/>
      <c r="H16" s="20"/>
      <c r="I16" s="20"/>
    </row>
    <row r="18" customFormat="false" ht="15" hidden="false" customHeight="true" outlineLevel="0" collapsed="false">
      <c r="A18" s="39" t="s">
        <v>136</v>
      </c>
      <c r="B18" s="39"/>
      <c r="C18" s="39"/>
      <c r="D18" s="39"/>
      <c r="E18" s="39"/>
      <c r="F18" s="39"/>
      <c r="G18" s="40" t="n">
        <f aca="false">IFERROR(AVERAGE(G5:G16),0)</f>
        <v>0</v>
      </c>
    </row>
    <row r="19" customFormat="false" ht="15" hidden="false" customHeight="true" outlineLevel="0" collapsed="false">
      <c r="A19" s="39" t="s">
        <v>137</v>
      </c>
      <c r="B19" s="39"/>
      <c r="C19" s="39"/>
      <c r="D19" s="39"/>
      <c r="E19" s="39"/>
      <c r="F19" s="39"/>
      <c r="G19" s="41" t="str">
        <f aca="false">COUNTIF(F5:F16,"完了")&amp;"/"&amp;COUNTA(A5:A16)</f>
        <v>0/12</v>
      </c>
    </row>
  </sheetData>
  <mergeCells count="4">
    <mergeCell ref="A1:I1"/>
    <mergeCell ref="A2:I2"/>
    <mergeCell ref="A18:F18"/>
    <mergeCell ref="A19:F19"/>
  </mergeCells>
  <conditionalFormatting sqref="F5:F16">
    <cfRule type="cellIs" priority="2" operator="equal" aboveAverage="0" equalAverage="0" bottom="0" percent="0" rank="0" text="" dxfId="0">
      <formula>"完了"</formula>
    </cfRule>
    <cfRule type="cellIs" priority="3" operator="equal" aboveAverage="0" equalAverage="0" bottom="0" percent="0" rank="0" text="" dxfId="1">
      <formula>"遅延"</formula>
    </cfRule>
    <cfRule type="cellIs" priority="4" operator="equal" aboveAverage="0" equalAverage="0" bottom="0" percent="0" rank="0" text="" dxfId="2">
      <formula>"対応中"</formula>
    </cfRule>
  </conditionalFormatting>
  <dataValidations count="1">
    <dataValidation allowBlank="true" errorStyle="stop" operator="between" showDropDown="false" showErrorMessage="false" showInputMessage="false" sqref="F5:F16" type="list">
      <formula1>"未着手,対応中,完了,遅延,保留"</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2" min="2" style="1" width="36"/>
    <col collapsed="false" customWidth="true" hidden="false" outlineLevel="0" max="3" min="3" style="1" width="26"/>
    <col collapsed="false" customWidth="true" hidden="false" outlineLevel="0" max="4" min="4" style="1" width="14"/>
    <col collapsed="false" customWidth="true" hidden="false" outlineLevel="0" max="5" min="5" style="1" width="26"/>
  </cols>
  <sheetData>
    <row r="1" customFormat="false" ht="19.5" hidden="false" customHeight="true" outlineLevel="0" collapsed="false">
      <c r="A1" s="2" t="s">
        <v>138</v>
      </c>
      <c r="B1" s="2"/>
      <c r="C1" s="2"/>
      <c r="D1" s="2"/>
      <c r="E1" s="2"/>
    </row>
    <row r="2" customFormat="false" ht="15" hidden="false" customHeight="true" outlineLevel="0" collapsed="false">
      <c r="A2" s="28" t="s">
        <v>139</v>
      </c>
      <c r="B2" s="28"/>
      <c r="C2" s="28"/>
      <c r="D2" s="28"/>
      <c r="E2" s="28"/>
    </row>
    <row r="4" customFormat="false" ht="15" hidden="false" customHeight="true" outlineLevel="0" collapsed="false">
      <c r="A4" s="26" t="s">
        <v>140</v>
      </c>
      <c r="B4" s="26"/>
      <c r="C4" s="26"/>
      <c r="D4" s="26"/>
      <c r="E4" s="26"/>
    </row>
    <row r="5" customFormat="false" ht="39" hidden="false" customHeight="true" outlineLevel="0" collapsed="false">
      <c r="A5" s="22" t="s">
        <v>141</v>
      </c>
    </row>
    <row r="6" customFormat="false" ht="32.25" hidden="false" customHeight="true" outlineLevel="0" collapsed="false">
      <c r="A6" s="23" t="s">
        <v>142</v>
      </c>
      <c r="B6" s="23" t="s">
        <v>143</v>
      </c>
      <c r="C6" s="23" t="s">
        <v>144</v>
      </c>
      <c r="D6" s="23" t="s">
        <v>145</v>
      </c>
      <c r="E6" s="23" t="s">
        <v>69</v>
      </c>
    </row>
    <row r="7" customFormat="false" ht="15" hidden="false" customHeight="true" outlineLevel="0" collapsed="false">
      <c r="A7" s="29" t="s">
        <v>146</v>
      </c>
      <c r="B7" s="20"/>
      <c r="C7" s="20"/>
      <c r="D7" s="25"/>
      <c r="E7" s="20"/>
    </row>
    <row r="8" customFormat="false" ht="15" hidden="false" customHeight="true" outlineLevel="0" collapsed="false">
      <c r="A8" s="29" t="s">
        <v>147</v>
      </c>
      <c r="B8" s="20"/>
      <c r="C8" s="20"/>
      <c r="D8" s="25"/>
      <c r="E8" s="20"/>
    </row>
    <row r="9" customFormat="false" ht="15" hidden="false" customHeight="true" outlineLevel="0" collapsed="false">
      <c r="A9" s="29" t="s">
        <v>148</v>
      </c>
      <c r="B9" s="20"/>
      <c r="C9" s="20"/>
      <c r="D9" s="25"/>
      <c r="E9" s="20"/>
    </row>
    <row r="10" customFormat="false" ht="15" hidden="false" customHeight="true" outlineLevel="0" collapsed="false">
      <c r="A10" s="29" t="s">
        <v>149</v>
      </c>
      <c r="B10" s="20"/>
      <c r="C10" s="20"/>
      <c r="D10" s="25"/>
      <c r="E10" s="20"/>
    </row>
    <row r="11" customFormat="false" ht="15" hidden="false" customHeight="true" outlineLevel="0" collapsed="false">
      <c r="A11" s="29" t="s">
        <v>150</v>
      </c>
      <c r="B11" s="20"/>
      <c r="C11" s="20"/>
      <c r="D11" s="25"/>
      <c r="E11" s="20"/>
    </row>
    <row r="13" customFormat="false" ht="15" hidden="false" customHeight="true" outlineLevel="0" collapsed="false">
      <c r="A13" s="26" t="s">
        <v>151</v>
      </c>
      <c r="B13" s="26"/>
      <c r="C13" s="26"/>
      <c r="D13" s="26"/>
      <c r="E13" s="26"/>
    </row>
    <row r="14" customFormat="false" ht="51.75" hidden="false" customHeight="true" outlineLevel="0" collapsed="false">
      <c r="A14" s="22" t="s">
        <v>152</v>
      </c>
    </row>
    <row r="15" customFormat="false" ht="16.5" hidden="false" customHeight="true" outlineLevel="0" collapsed="false">
      <c r="A15" s="23" t="s">
        <v>142</v>
      </c>
      <c r="B15" s="23" t="s">
        <v>153</v>
      </c>
      <c r="C15" s="23" t="s">
        <v>154</v>
      </c>
      <c r="D15" s="23" t="s">
        <v>155</v>
      </c>
      <c r="E15" s="23" t="s">
        <v>156</v>
      </c>
    </row>
    <row r="16" customFormat="false" ht="15" hidden="false" customHeight="true" outlineLevel="0" collapsed="false">
      <c r="A16" s="29" t="s">
        <v>157</v>
      </c>
      <c r="B16" s="20"/>
      <c r="C16" s="20"/>
      <c r="D16" s="25"/>
      <c r="E16" s="20"/>
    </row>
    <row r="17" customFormat="false" ht="15" hidden="false" customHeight="true" outlineLevel="0" collapsed="false">
      <c r="A17" s="29" t="s">
        <v>158</v>
      </c>
      <c r="B17" s="20"/>
      <c r="C17" s="20"/>
      <c r="D17" s="25"/>
      <c r="E17" s="20"/>
    </row>
    <row r="18" customFormat="false" ht="15" hidden="false" customHeight="true" outlineLevel="0" collapsed="false">
      <c r="A18" s="29" t="s">
        <v>159</v>
      </c>
      <c r="B18" s="20"/>
      <c r="C18" s="20"/>
      <c r="D18" s="25"/>
      <c r="E18" s="20"/>
    </row>
    <row r="19" customFormat="false" ht="15" hidden="false" customHeight="true" outlineLevel="0" collapsed="false">
      <c r="A19" s="29" t="s">
        <v>160</v>
      </c>
      <c r="B19" s="20"/>
      <c r="C19" s="20"/>
      <c r="D19" s="25"/>
      <c r="E19" s="20"/>
    </row>
    <row r="20" customFormat="false" ht="15" hidden="false" customHeight="true" outlineLevel="0" collapsed="false">
      <c r="A20" s="29" t="s">
        <v>161</v>
      </c>
      <c r="B20" s="20"/>
      <c r="C20" s="20"/>
      <c r="D20" s="25"/>
      <c r="E20" s="20"/>
    </row>
  </sheetData>
  <mergeCells count="4">
    <mergeCell ref="A1:E1"/>
    <mergeCell ref="A2:E2"/>
    <mergeCell ref="A4:E4"/>
    <mergeCell ref="A13:E13"/>
  </mergeCells>
  <dataValidations count="2">
    <dataValidation allowBlank="true" errorStyle="stop" operator="between" showDropDown="false" showErrorMessage="false" showInputMessage="false" sqref="D7:D11" type="list">
      <formula1>"合格,不合格,判定待ち"</formula1>
      <formula2>0</formula2>
    </dataValidation>
    <dataValidation allowBlank="true" errorStyle="stop" operator="between" showDropDown="false" showErrorMessage="false" showInputMessage="false" sqref="D16:D20" type="list">
      <formula1>"良好,要改善,重大な懸念"</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0"/>
    <col collapsed="false" customWidth="true" hidden="false" outlineLevel="0" max="2" min="2" style="1" width="30"/>
    <col collapsed="false" customWidth="true" hidden="false" outlineLevel="0" max="4" min="3" style="1" width="14"/>
    <col collapsed="false" customWidth="true" hidden="false" outlineLevel="0" max="5" min="5" style="1" width="12"/>
    <col collapsed="false" customWidth="true" hidden="false" outlineLevel="0" max="6" min="6" style="1" width="14"/>
    <col collapsed="false" customWidth="true" hidden="false" outlineLevel="0" max="8" min="7" style="1" width="26"/>
  </cols>
  <sheetData>
    <row r="1" customFormat="false" ht="19.5" hidden="false" customHeight="true" outlineLevel="0" collapsed="false">
      <c r="A1" s="2" t="s">
        <v>162</v>
      </c>
      <c r="B1" s="2"/>
      <c r="C1" s="2"/>
      <c r="D1" s="2"/>
      <c r="E1" s="2"/>
      <c r="F1" s="2"/>
      <c r="G1" s="2"/>
      <c r="H1" s="2"/>
    </row>
    <row r="3" customFormat="false" ht="15" hidden="false" customHeight="true" outlineLevel="0" collapsed="false">
      <c r="A3" s="26" t="s">
        <v>163</v>
      </c>
      <c r="B3" s="26"/>
      <c r="C3" s="26"/>
      <c r="D3" s="26"/>
      <c r="E3" s="26"/>
      <c r="F3" s="26"/>
      <c r="G3" s="26"/>
      <c r="H3" s="26"/>
    </row>
    <row r="4" customFormat="false" ht="32.25" hidden="false" customHeight="true" outlineLevel="0" collapsed="false">
      <c r="A4" s="23" t="s">
        <v>164</v>
      </c>
      <c r="B4" s="23" t="s">
        <v>165</v>
      </c>
      <c r="C4" s="23" t="s">
        <v>166</v>
      </c>
      <c r="D4" s="23" t="s">
        <v>167</v>
      </c>
      <c r="E4" s="23"/>
      <c r="G4" s="23" t="s">
        <v>168</v>
      </c>
      <c r="H4" s="23"/>
      <c r="I4" s="23"/>
    </row>
    <row r="5" customFormat="false" ht="33.75" hidden="false" customHeight="true" outlineLevel="0" collapsed="false">
      <c r="A5" s="42" t="s">
        <v>169</v>
      </c>
      <c r="B5" s="43" t="s">
        <v>170</v>
      </c>
      <c r="C5" s="25"/>
      <c r="D5" s="19"/>
      <c r="E5" s="19"/>
      <c r="F5" s="44"/>
      <c r="G5" s="44"/>
      <c r="H5" s="44"/>
      <c r="I5" s="45"/>
    </row>
    <row r="6" customFormat="false" ht="33.75" hidden="false" customHeight="true" outlineLevel="0" collapsed="false">
      <c r="A6" s="42" t="s">
        <v>171</v>
      </c>
      <c r="B6" s="43" t="s">
        <v>172</v>
      </c>
      <c r="C6" s="25"/>
      <c r="D6" s="19"/>
      <c r="E6" s="19"/>
      <c r="F6" s="44"/>
      <c r="G6" s="44"/>
      <c r="H6" s="44"/>
      <c r="I6" s="45"/>
    </row>
    <row r="7" customFormat="false" ht="33.75" hidden="false" customHeight="true" outlineLevel="0" collapsed="false">
      <c r="A7" s="42" t="s">
        <v>173</v>
      </c>
      <c r="B7" s="43" t="s">
        <v>174</v>
      </c>
      <c r="C7" s="25"/>
      <c r="D7" s="19"/>
      <c r="E7" s="19"/>
      <c r="F7" s="44"/>
      <c r="G7" s="44"/>
      <c r="H7" s="44"/>
      <c r="I7" s="45"/>
    </row>
    <row r="8" customFormat="false" ht="33.75" hidden="false" customHeight="true" outlineLevel="0" collapsed="false">
      <c r="A8" s="42" t="s">
        <v>175</v>
      </c>
      <c r="B8" s="43" t="s">
        <v>176</v>
      </c>
      <c r="C8" s="25"/>
      <c r="D8" s="19"/>
      <c r="E8" s="19"/>
      <c r="F8" s="44"/>
      <c r="G8" s="44"/>
      <c r="H8" s="44"/>
      <c r="I8" s="45"/>
    </row>
    <row r="10" customFormat="false" ht="15" hidden="false" customHeight="true" outlineLevel="0" collapsed="false">
      <c r="A10" s="26" t="s">
        <v>177</v>
      </c>
      <c r="B10" s="26"/>
      <c r="C10" s="26"/>
      <c r="D10" s="26"/>
      <c r="E10" s="26"/>
      <c r="F10" s="26"/>
      <c r="G10" s="26"/>
      <c r="H10" s="26"/>
    </row>
    <row r="11" customFormat="false" ht="15" hidden="false" customHeight="true" outlineLevel="0" collapsed="false">
      <c r="A11" s="28" t="s">
        <v>178</v>
      </c>
      <c r="B11" s="28"/>
      <c r="C11" s="28"/>
      <c r="D11" s="28"/>
      <c r="E11" s="28"/>
      <c r="F11" s="28"/>
      <c r="G11" s="28"/>
      <c r="H11" s="28"/>
    </row>
    <row r="12" customFormat="false" ht="16.5" hidden="false" customHeight="true" outlineLevel="0" collapsed="false">
      <c r="A12" s="23" t="s">
        <v>179</v>
      </c>
      <c r="B12" s="23" t="s">
        <v>180</v>
      </c>
      <c r="C12" s="23" t="s">
        <v>181</v>
      </c>
      <c r="D12" s="23" t="s">
        <v>182</v>
      </c>
      <c r="E12" s="23" t="s">
        <v>183</v>
      </c>
      <c r="F12" s="23" t="s">
        <v>184</v>
      </c>
      <c r="G12" s="23" t="s">
        <v>185</v>
      </c>
      <c r="H12" s="23" t="s">
        <v>186</v>
      </c>
      <c r="I12" s="23" t="s">
        <v>121</v>
      </c>
    </row>
    <row r="13" customFormat="false" ht="15" hidden="false" customHeight="true" outlineLevel="0" collapsed="false">
      <c r="A13" s="29" t="s">
        <v>187</v>
      </c>
      <c r="B13" s="20"/>
      <c r="C13" s="25"/>
      <c r="D13" s="25"/>
      <c r="E13" s="46" t="str">
        <f aca="false">IF(OR(C13="",D13=""),"",C13*D13)</f>
        <v/>
      </c>
      <c r="F13" s="25"/>
      <c r="G13" s="20"/>
      <c r="H13" s="19"/>
      <c r="I13" s="25"/>
    </row>
    <row r="14" customFormat="false" ht="15" hidden="false" customHeight="true" outlineLevel="0" collapsed="false">
      <c r="A14" s="29" t="s">
        <v>188</v>
      </c>
      <c r="B14" s="20"/>
      <c r="C14" s="25"/>
      <c r="D14" s="25"/>
      <c r="E14" s="46" t="str">
        <f aca="false">IF(OR(C14="",D14=""),"",C14*D14)</f>
        <v/>
      </c>
      <c r="F14" s="25"/>
      <c r="G14" s="20"/>
      <c r="H14" s="19"/>
      <c r="I14" s="25"/>
    </row>
    <row r="15" customFormat="false" ht="15" hidden="false" customHeight="true" outlineLevel="0" collapsed="false">
      <c r="A15" s="29" t="s">
        <v>189</v>
      </c>
      <c r="B15" s="20"/>
      <c r="C15" s="25"/>
      <c r="D15" s="25"/>
      <c r="E15" s="46" t="str">
        <f aca="false">IF(OR(C15="",D15=""),"",C15*D15)</f>
        <v/>
      </c>
      <c r="F15" s="25"/>
      <c r="G15" s="20"/>
      <c r="H15" s="19"/>
      <c r="I15" s="25"/>
    </row>
    <row r="16" customFormat="false" ht="15" hidden="false" customHeight="true" outlineLevel="0" collapsed="false">
      <c r="A16" s="29" t="s">
        <v>190</v>
      </c>
      <c r="B16" s="20"/>
      <c r="C16" s="25"/>
      <c r="D16" s="25"/>
      <c r="E16" s="46" t="str">
        <f aca="false">IF(OR(C16="",D16=""),"",C16*D16)</f>
        <v/>
      </c>
      <c r="F16" s="25"/>
      <c r="G16" s="20"/>
      <c r="H16" s="19"/>
      <c r="I16" s="25"/>
    </row>
    <row r="17" customFormat="false" ht="15" hidden="false" customHeight="true" outlineLevel="0" collapsed="false">
      <c r="A17" s="29" t="s">
        <v>191</v>
      </c>
      <c r="B17" s="20"/>
      <c r="C17" s="25"/>
      <c r="D17" s="25"/>
      <c r="E17" s="46" t="str">
        <f aca="false">IF(OR(C17="",D17=""),"",C17*D17)</f>
        <v/>
      </c>
      <c r="F17" s="25"/>
      <c r="G17" s="20"/>
      <c r="H17" s="19"/>
      <c r="I17" s="25"/>
    </row>
    <row r="18" customFormat="false" ht="15" hidden="false" customHeight="true" outlineLevel="0" collapsed="false">
      <c r="A18" s="29" t="s">
        <v>192</v>
      </c>
      <c r="B18" s="20"/>
      <c r="C18" s="25"/>
      <c r="D18" s="25"/>
      <c r="E18" s="46" t="str">
        <f aca="false">IF(OR(C18="",D18=""),"",C18*D18)</f>
        <v/>
      </c>
      <c r="F18" s="25"/>
      <c r="G18" s="20"/>
      <c r="H18" s="19"/>
      <c r="I18" s="25"/>
    </row>
    <row r="19" customFormat="false" ht="15" hidden="false" customHeight="true" outlineLevel="0" collapsed="false">
      <c r="A19" s="29" t="s">
        <v>193</v>
      </c>
      <c r="B19" s="20"/>
      <c r="C19" s="25"/>
      <c r="D19" s="25"/>
      <c r="E19" s="46" t="str">
        <f aca="false">IF(OR(C19="",D19=""),"",C19*D19)</f>
        <v/>
      </c>
      <c r="F19" s="25"/>
      <c r="G19" s="20"/>
      <c r="H19" s="19"/>
      <c r="I19" s="25"/>
    </row>
    <row r="20" customFormat="false" ht="15" hidden="false" customHeight="true" outlineLevel="0" collapsed="false">
      <c r="A20" s="29" t="s">
        <v>194</v>
      </c>
      <c r="B20" s="20"/>
      <c r="C20" s="25"/>
      <c r="D20" s="25"/>
      <c r="E20" s="46" t="str">
        <f aca="false">IF(OR(C20="",D20=""),"",C20*D20)</f>
        <v/>
      </c>
      <c r="F20" s="25"/>
      <c r="G20" s="20"/>
      <c r="H20" s="19"/>
      <c r="I20" s="25"/>
    </row>
    <row r="21" customFormat="false" ht="26.25" hidden="false" customHeight="true" outlineLevel="0" collapsed="false">
      <c r="A21" s="28" t="s">
        <v>195</v>
      </c>
      <c r="B21" s="28"/>
      <c r="C21" s="28"/>
      <c r="D21" s="28"/>
      <c r="E21" s="28"/>
      <c r="F21" s="28"/>
      <c r="G21" s="28"/>
      <c r="H21" s="28"/>
    </row>
  </sheetData>
  <mergeCells count="13">
    <mergeCell ref="A1:H1"/>
    <mergeCell ref="A3:H3"/>
    <mergeCell ref="D5:E5"/>
    <mergeCell ref="F5:H5"/>
    <mergeCell ref="D6:E6"/>
    <mergeCell ref="F6:H6"/>
    <mergeCell ref="D7:E7"/>
    <mergeCell ref="F7:H7"/>
    <mergeCell ref="D8:E8"/>
    <mergeCell ref="F8:H8"/>
    <mergeCell ref="A10:H10"/>
    <mergeCell ref="A11:H11"/>
    <mergeCell ref="A21:H21"/>
  </mergeCells>
  <conditionalFormatting sqref="E13:E20">
    <cfRule type="colorScale" priority="2">
      <colorScale>
        <cfvo type="min" val="0"/>
        <cfvo type="percentile" val="50"/>
        <cfvo type="max" val="0"/>
        <color rgb="FFC6E0B4"/>
        <color rgb="FFFFE699"/>
        <color rgb="FFF4A9A9"/>
      </colorScale>
    </cfRule>
  </conditionalFormatting>
  <dataValidations count="5">
    <dataValidation allowBlank="true" errorStyle="stop" operator="between" showDropDown="false" showErrorMessage="false" showInputMessage="false" sqref="C5:C8" type="list">
      <formula1>"高,中,低"</formula1>
      <formula2>0</formula2>
    </dataValidation>
    <dataValidation allowBlank="true" errorStyle="stop" operator="between" showDropDown="false" showErrorMessage="false" showInputMessage="false" sqref="C13:D20" type="list">
      <formula1>"1,2,3,4,5"</formula1>
      <formula2>0</formula2>
    </dataValidation>
    <dataValidation allowBlank="true" errorStyle="stop" operator="between" showDropDown="false" showErrorMessage="false" showInputMessage="false" sqref="H13:H20" type="list">
      <formula1>"未対応,対応中,監視中,解消済み,顕在化"</formula1>
      <formula2>0</formula2>
    </dataValidation>
    <dataValidation allowBlank="true" errorStyle="stop" operator="between" showDropDown="false" showErrorMessage="false" showInputMessage="false" sqref="F13:F20" type="list">
      <formula1>"脅威,好機"</formula1>
      <formula2>0</formula2>
    </dataValidation>
    <dataValidation allowBlank="true" errorStyle="stop" operator="between" showDropDown="false" showErrorMessage="false" showInputMessage="false" sqref="G13:G20" type="list">
      <formula1>"エスカレーション,回避（脅威）,転嫁（脅威）,軽減（脅威）,活用（好機）,共有（好機）,強化（好機）,受容（能動的）,受容（受動的）"</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28"/>
    <col collapsed="false" customWidth="true" hidden="false" outlineLevel="0" max="5" min="3" style="1" width="22"/>
    <col collapsed="false" customWidth="true" hidden="false" outlineLevel="0" max="7" min="6" style="1" width="14"/>
  </cols>
  <sheetData>
    <row r="1" customFormat="false" ht="19.5" hidden="false" customHeight="true" outlineLevel="0" collapsed="false">
      <c r="A1" s="2" t="s">
        <v>196</v>
      </c>
      <c r="B1" s="2"/>
      <c r="C1" s="2"/>
      <c r="D1" s="2"/>
      <c r="E1" s="2"/>
      <c r="F1" s="2"/>
      <c r="G1" s="2"/>
    </row>
    <row r="2" customFormat="false" ht="15" hidden="false" customHeight="true" outlineLevel="0" collapsed="false">
      <c r="A2" s="28" t="s">
        <v>197</v>
      </c>
      <c r="B2" s="28"/>
      <c r="C2" s="28"/>
      <c r="D2" s="28"/>
      <c r="E2" s="28"/>
      <c r="F2" s="28"/>
      <c r="G2" s="28"/>
    </row>
    <row r="4" customFormat="false" ht="15" hidden="false" customHeight="true" outlineLevel="0" collapsed="false">
      <c r="A4" s="47" t="s">
        <v>198</v>
      </c>
      <c r="B4" s="47"/>
      <c r="C4" s="28" t="s">
        <v>199</v>
      </c>
      <c r="D4" s="28"/>
      <c r="E4" s="28"/>
      <c r="F4" s="28"/>
      <c r="G4" s="28"/>
    </row>
    <row r="5" customFormat="false" ht="39.75" hidden="false" customHeight="true" outlineLevel="0" collapsed="false">
      <c r="A5" s="48"/>
      <c r="B5" s="48"/>
      <c r="C5" s="48"/>
      <c r="D5" s="48"/>
      <c r="E5" s="48"/>
      <c r="F5" s="48"/>
      <c r="G5" s="48"/>
    </row>
    <row r="6" customFormat="false" ht="15" hidden="false" customHeight="true" outlineLevel="0" collapsed="false">
      <c r="A6" s="47" t="s">
        <v>200</v>
      </c>
      <c r="B6" s="47"/>
      <c r="C6" s="28" t="s">
        <v>201</v>
      </c>
      <c r="D6" s="28"/>
      <c r="E6" s="28"/>
      <c r="F6" s="28"/>
      <c r="G6" s="28"/>
    </row>
    <row r="7" customFormat="false" ht="39.75" hidden="false" customHeight="true" outlineLevel="0" collapsed="false">
      <c r="A7" s="48"/>
      <c r="B7" s="48"/>
      <c r="C7" s="48"/>
      <c r="D7" s="48"/>
      <c r="E7" s="48"/>
      <c r="F7" s="48"/>
      <c r="G7" s="48"/>
    </row>
    <row r="8" customFormat="false" ht="15" hidden="false" customHeight="true" outlineLevel="0" collapsed="false">
      <c r="A8" s="47" t="s">
        <v>202</v>
      </c>
      <c r="B8" s="47"/>
      <c r="C8" s="28" t="s">
        <v>203</v>
      </c>
      <c r="D8" s="28"/>
      <c r="E8" s="28"/>
      <c r="F8" s="28"/>
      <c r="G8" s="28"/>
    </row>
    <row r="9" customFormat="false" ht="39.75" hidden="false" customHeight="true" outlineLevel="0" collapsed="false">
      <c r="A9" s="48"/>
      <c r="B9" s="48"/>
      <c r="C9" s="48"/>
      <c r="D9" s="48"/>
      <c r="E9" s="48"/>
      <c r="F9" s="48"/>
      <c r="G9" s="48"/>
    </row>
    <row r="10" customFormat="false" ht="15" hidden="false" customHeight="true" outlineLevel="0" collapsed="false">
      <c r="A10" s="47" t="s">
        <v>204</v>
      </c>
      <c r="B10" s="47"/>
      <c r="C10" s="28" t="s">
        <v>205</v>
      </c>
      <c r="D10" s="28"/>
      <c r="E10" s="28"/>
      <c r="F10" s="28"/>
      <c r="G10" s="28"/>
    </row>
    <row r="11" customFormat="false" ht="39.75" hidden="false" customHeight="true" outlineLevel="0" collapsed="false">
      <c r="A11" s="48"/>
      <c r="B11" s="48"/>
      <c r="C11" s="48"/>
      <c r="D11" s="48"/>
      <c r="E11" s="48"/>
      <c r="F11" s="48"/>
      <c r="G11" s="48"/>
    </row>
    <row r="13" customFormat="false" ht="15" hidden="false" customHeight="true" outlineLevel="0" collapsed="false">
      <c r="A13" s="26" t="s">
        <v>206</v>
      </c>
      <c r="B13" s="26"/>
      <c r="C13" s="26"/>
      <c r="D13" s="26"/>
      <c r="E13" s="26"/>
      <c r="F13" s="26"/>
      <c r="G13" s="26"/>
    </row>
    <row r="14" customFormat="false" ht="32.25" hidden="false" customHeight="true" outlineLevel="0" collapsed="false">
      <c r="A14" s="23" t="s">
        <v>207</v>
      </c>
      <c r="B14" s="23" t="s">
        <v>208</v>
      </c>
      <c r="C14" s="23" t="s">
        <v>209</v>
      </c>
      <c r="D14" s="23" t="s">
        <v>210</v>
      </c>
      <c r="E14" s="23" t="s">
        <v>211</v>
      </c>
      <c r="F14" s="23" t="s">
        <v>212</v>
      </c>
      <c r="G14" s="23" t="s">
        <v>121</v>
      </c>
    </row>
    <row r="15" customFormat="false" ht="15" hidden="false" customHeight="true" outlineLevel="0" collapsed="false">
      <c r="A15" s="29" t="s">
        <v>213</v>
      </c>
      <c r="B15" s="20"/>
      <c r="C15" s="20"/>
      <c r="D15" s="20"/>
      <c r="E15" s="20"/>
      <c r="F15" s="20"/>
      <c r="G15" s="25"/>
    </row>
    <row r="16" customFormat="false" ht="15" hidden="false" customHeight="true" outlineLevel="0" collapsed="false">
      <c r="A16" s="29" t="s">
        <v>214</v>
      </c>
      <c r="B16" s="20"/>
      <c r="C16" s="20"/>
      <c r="D16" s="20"/>
      <c r="E16" s="20"/>
      <c r="F16" s="20"/>
      <c r="G16" s="25"/>
    </row>
    <row r="17" customFormat="false" ht="15" hidden="false" customHeight="true" outlineLevel="0" collapsed="false">
      <c r="A17" s="29" t="s">
        <v>215</v>
      </c>
      <c r="B17" s="20"/>
      <c r="C17" s="20"/>
      <c r="D17" s="20"/>
      <c r="E17" s="20"/>
      <c r="F17" s="20"/>
      <c r="G17" s="25"/>
    </row>
    <row r="18" customFormat="false" ht="15" hidden="false" customHeight="true" outlineLevel="0" collapsed="false">
      <c r="A18" s="29" t="s">
        <v>216</v>
      </c>
      <c r="B18" s="20"/>
      <c r="C18" s="20"/>
      <c r="D18" s="20"/>
      <c r="E18" s="20"/>
      <c r="F18" s="20"/>
      <c r="G18" s="25"/>
    </row>
    <row r="19" customFormat="false" ht="15" hidden="false" customHeight="true" outlineLevel="0" collapsed="false">
      <c r="A19" s="29" t="s">
        <v>217</v>
      </c>
      <c r="B19" s="20"/>
      <c r="C19" s="20"/>
      <c r="D19" s="20"/>
      <c r="E19" s="20"/>
      <c r="F19" s="20"/>
      <c r="G19" s="25"/>
    </row>
    <row r="20" customFormat="false" ht="15" hidden="false" customHeight="true" outlineLevel="0" collapsed="false">
      <c r="A20" s="29" t="s">
        <v>218</v>
      </c>
      <c r="B20" s="20"/>
      <c r="C20" s="20"/>
      <c r="D20" s="20"/>
      <c r="E20" s="20"/>
      <c r="F20" s="20"/>
      <c r="G20" s="25"/>
    </row>
    <row r="21" customFormat="false" ht="15" hidden="false" customHeight="true" outlineLevel="0" collapsed="false">
      <c r="A21" s="29" t="s">
        <v>219</v>
      </c>
      <c r="B21" s="20"/>
      <c r="C21" s="20"/>
      <c r="D21" s="20"/>
      <c r="E21" s="20"/>
      <c r="F21" s="20"/>
      <c r="G21" s="25"/>
    </row>
    <row r="22" customFormat="false" ht="15" hidden="false" customHeight="true" outlineLevel="0" collapsed="false">
      <c r="A22" s="29" t="s">
        <v>220</v>
      </c>
      <c r="B22" s="20"/>
      <c r="C22" s="20"/>
      <c r="D22" s="20"/>
      <c r="E22" s="20"/>
      <c r="F22" s="20"/>
      <c r="G22" s="25"/>
    </row>
  </sheetData>
  <mergeCells count="15">
    <mergeCell ref="A1:G1"/>
    <mergeCell ref="A2:G2"/>
    <mergeCell ref="A4:B4"/>
    <mergeCell ref="C4:G4"/>
    <mergeCell ref="A5:G5"/>
    <mergeCell ref="A6:B6"/>
    <mergeCell ref="C6:G6"/>
    <mergeCell ref="A7:G7"/>
    <mergeCell ref="A8:B8"/>
    <mergeCell ref="C8:G8"/>
    <mergeCell ref="A9:G9"/>
    <mergeCell ref="A10:B10"/>
    <mergeCell ref="C10:G10"/>
    <mergeCell ref="A11:G11"/>
    <mergeCell ref="A13:G13"/>
  </mergeCells>
  <dataValidations count="1">
    <dataValidation allowBlank="true" errorStyle="stop" operator="between" showDropDown="false" showErrorMessage="false" showInputMessage="false" sqref="G15:G22" type="list">
      <formula1>"申請中,承認済み,却下,実施済み"</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3" min="2" style="1" width="30"/>
    <col collapsed="false" customWidth="true" hidden="false" outlineLevel="0" max="4" min="4" style="1" width="16"/>
    <col collapsed="false" customWidth="true" hidden="false" outlineLevel="0" max="5" min="5" style="1" width="20"/>
  </cols>
  <sheetData>
    <row r="1" customFormat="false" ht="19.5" hidden="false" customHeight="true" outlineLevel="0" collapsed="false">
      <c r="A1" s="2" t="s">
        <v>221</v>
      </c>
      <c r="B1" s="2"/>
      <c r="C1" s="2"/>
      <c r="D1" s="2"/>
      <c r="E1" s="2"/>
    </row>
    <row r="2" customFormat="false" ht="26.25" hidden="false" customHeight="true" outlineLevel="0" collapsed="false">
      <c r="A2" s="28" t="s">
        <v>222</v>
      </c>
      <c r="B2" s="28"/>
      <c r="C2" s="28"/>
      <c r="D2" s="28"/>
      <c r="E2" s="28"/>
    </row>
    <row r="4" customFormat="false" ht="16.5" hidden="false" customHeight="true" outlineLevel="0" collapsed="false">
      <c r="A4" s="23" t="s">
        <v>223</v>
      </c>
      <c r="B4" s="23" t="s">
        <v>224</v>
      </c>
      <c r="C4" s="23" t="s">
        <v>225</v>
      </c>
      <c r="D4" s="23" t="s">
        <v>92</v>
      </c>
      <c r="E4" s="23" t="s">
        <v>226</v>
      </c>
    </row>
    <row r="5" customFormat="false" ht="33.75" hidden="false" customHeight="true" outlineLevel="0" collapsed="false">
      <c r="A5" s="31" t="s">
        <v>227</v>
      </c>
      <c r="B5" s="20"/>
      <c r="C5" s="20"/>
      <c r="D5" s="25"/>
      <c r="E5" s="20"/>
    </row>
    <row r="6" customFormat="false" ht="33.75" hidden="false" customHeight="true" outlineLevel="0" collapsed="false">
      <c r="A6" s="31" t="s">
        <v>228</v>
      </c>
      <c r="B6" s="20"/>
      <c r="C6" s="20"/>
      <c r="D6" s="25"/>
      <c r="E6" s="20"/>
    </row>
    <row r="7" customFormat="false" ht="33.75" hidden="false" customHeight="true" outlineLevel="0" collapsed="false">
      <c r="A7" s="31" t="s">
        <v>229</v>
      </c>
      <c r="B7" s="20"/>
      <c r="C7" s="20"/>
      <c r="D7" s="25"/>
      <c r="E7" s="20"/>
    </row>
    <row r="8" customFormat="false" ht="33.75" hidden="false" customHeight="true" outlineLevel="0" collapsed="false">
      <c r="A8" s="31" t="s">
        <v>230</v>
      </c>
      <c r="B8" s="20"/>
      <c r="C8" s="20"/>
      <c r="D8" s="25"/>
      <c r="E8" s="20"/>
    </row>
    <row r="9" customFormat="false" ht="33.75" hidden="false" customHeight="true" outlineLevel="0" collapsed="false">
      <c r="A9" s="31" t="s">
        <v>231</v>
      </c>
      <c r="B9" s="20"/>
      <c r="C9" s="20"/>
      <c r="D9" s="25"/>
      <c r="E9" s="20"/>
    </row>
    <row r="10" customFormat="false" ht="33.75" hidden="false" customHeight="true" outlineLevel="0" collapsed="false">
      <c r="A10" s="31" t="s">
        <v>232</v>
      </c>
      <c r="B10" s="20"/>
      <c r="C10" s="20"/>
      <c r="D10" s="25"/>
      <c r="E10" s="20"/>
    </row>
  </sheetData>
  <mergeCells count="2">
    <mergeCell ref="A1:E1"/>
    <mergeCell ref="A2:E2"/>
  </mergeCells>
  <dataValidations count="1">
    <dataValidation allowBlank="true" errorStyle="stop" operator="between" showDropDown="false" showErrorMessage="false" showInputMessage="false" sqref="D5:D10" type="list">
      <formula1>"随時,毎日,週次,隔週,月次,四半期,マイルストーン時"</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18"/>
    <col collapsed="false" customWidth="true" hidden="false" outlineLevel="0" max="3" min="3" style="1" width="46"/>
    <col collapsed="false" customWidth="true" hidden="false" outlineLevel="0" max="4" min="4" style="1" width="16"/>
    <col collapsed="false" customWidth="true" hidden="false" outlineLevel="0" max="5" min="5" style="1" width="30"/>
  </cols>
  <sheetData>
    <row r="1" customFormat="false" ht="23.25" hidden="false" customHeight="true" outlineLevel="0" collapsed="false">
      <c r="A1" s="27" t="s">
        <v>233</v>
      </c>
      <c r="B1" s="27"/>
      <c r="C1" s="27"/>
      <c r="D1" s="27"/>
      <c r="E1" s="27"/>
    </row>
    <row r="2" customFormat="false" ht="26.25" hidden="false" customHeight="true" outlineLevel="0" collapsed="false">
      <c r="A2" s="28" t="s">
        <v>234</v>
      </c>
      <c r="B2" s="28"/>
      <c r="C2" s="28"/>
      <c r="D2" s="28"/>
      <c r="E2" s="28"/>
    </row>
    <row r="4" customFormat="false" ht="29.25" hidden="false" customHeight="true" outlineLevel="0" collapsed="false">
      <c r="A4" s="49" t="s">
        <v>235</v>
      </c>
      <c r="B4" s="23" t="s">
        <v>236</v>
      </c>
      <c r="C4" s="23" t="s">
        <v>165</v>
      </c>
      <c r="D4" s="23" t="s">
        <v>237</v>
      </c>
      <c r="E4" s="23" t="s">
        <v>156</v>
      </c>
    </row>
    <row r="5" customFormat="false" ht="30" hidden="false" customHeight="true" outlineLevel="0" collapsed="false">
      <c r="A5" s="29" t="s">
        <v>238</v>
      </c>
      <c r="B5" s="42" t="s">
        <v>239</v>
      </c>
      <c r="C5" s="50" t="s">
        <v>240</v>
      </c>
      <c r="D5" s="25"/>
      <c r="E5" s="20"/>
    </row>
    <row r="6" customFormat="false" ht="30" hidden="false" customHeight="true" outlineLevel="0" collapsed="false">
      <c r="A6" s="29" t="s">
        <v>241</v>
      </c>
      <c r="B6" s="42" t="s">
        <v>242</v>
      </c>
      <c r="C6" s="50" t="s">
        <v>243</v>
      </c>
      <c r="D6" s="25"/>
      <c r="E6" s="20"/>
    </row>
    <row r="7" customFormat="false" ht="30" hidden="false" customHeight="true" outlineLevel="0" collapsed="false">
      <c r="A7" s="29" t="s">
        <v>244</v>
      </c>
      <c r="B7" s="42" t="s">
        <v>245</v>
      </c>
      <c r="C7" s="50" t="s">
        <v>246</v>
      </c>
      <c r="D7" s="25"/>
      <c r="E7" s="20"/>
    </row>
    <row r="8" customFormat="false" ht="30" hidden="false" customHeight="true" outlineLevel="0" collapsed="false">
      <c r="A8" s="29" t="s">
        <v>247</v>
      </c>
      <c r="B8" s="42" t="s">
        <v>248</v>
      </c>
      <c r="C8" s="50" t="s">
        <v>249</v>
      </c>
      <c r="D8" s="25"/>
      <c r="E8" s="20"/>
    </row>
    <row r="9" customFormat="false" ht="30" hidden="false" customHeight="true" outlineLevel="0" collapsed="false">
      <c r="A9" s="29" t="s">
        <v>250</v>
      </c>
      <c r="B9" s="42" t="s">
        <v>251</v>
      </c>
      <c r="C9" s="50" t="s">
        <v>252</v>
      </c>
      <c r="D9" s="25"/>
      <c r="E9" s="20"/>
    </row>
    <row r="10" customFormat="false" ht="30" hidden="false" customHeight="true" outlineLevel="0" collapsed="false">
      <c r="A10" s="29" t="s">
        <v>253</v>
      </c>
      <c r="B10" s="42" t="s">
        <v>254</v>
      </c>
      <c r="C10" s="50" t="s">
        <v>255</v>
      </c>
      <c r="D10" s="25"/>
      <c r="E10" s="20"/>
    </row>
    <row r="11" customFormat="false" ht="30" hidden="false" customHeight="true" outlineLevel="0" collapsed="false">
      <c r="A11" s="29" t="s">
        <v>256</v>
      </c>
      <c r="B11" s="42" t="s">
        <v>257</v>
      </c>
      <c r="C11" s="50" t="s">
        <v>258</v>
      </c>
      <c r="D11" s="25"/>
      <c r="E11" s="20"/>
    </row>
    <row r="12" customFormat="false" ht="30" hidden="false" customHeight="true" outlineLevel="0" collapsed="false">
      <c r="A12" s="29" t="s">
        <v>259</v>
      </c>
      <c r="B12" s="42" t="s">
        <v>260</v>
      </c>
      <c r="C12" s="50" t="s">
        <v>261</v>
      </c>
      <c r="D12" s="25"/>
      <c r="E12" s="20"/>
    </row>
    <row r="13" customFormat="false" ht="30" hidden="false" customHeight="true" outlineLevel="0" collapsed="false">
      <c r="A13" s="29" t="s">
        <v>262</v>
      </c>
      <c r="B13" s="42" t="s">
        <v>263</v>
      </c>
      <c r="C13" s="50" t="s">
        <v>264</v>
      </c>
      <c r="D13" s="25"/>
      <c r="E13" s="20"/>
    </row>
    <row r="14" customFormat="false" ht="30" hidden="false" customHeight="true" outlineLevel="0" collapsed="false">
      <c r="A14" s="29" t="s">
        <v>265</v>
      </c>
      <c r="B14" s="42" t="s">
        <v>266</v>
      </c>
      <c r="C14" s="50" t="s">
        <v>267</v>
      </c>
      <c r="D14" s="25"/>
      <c r="E14" s="20"/>
    </row>
    <row r="15" customFormat="false" ht="30" hidden="false" customHeight="true" outlineLevel="0" collapsed="false">
      <c r="A15" s="29" t="s">
        <v>268</v>
      </c>
      <c r="B15" s="42" t="s">
        <v>269</v>
      </c>
      <c r="C15" s="50" t="s">
        <v>270</v>
      </c>
      <c r="D15" s="25"/>
      <c r="E15" s="20"/>
    </row>
    <row r="16" customFormat="false" ht="30" hidden="false" customHeight="true" outlineLevel="0" collapsed="false">
      <c r="A16" s="29" t="s">
        <v>271</v>
      </c>
      <c r="B16" s="42" t="s">
        <v>272</v>
      </c>
      <c r="C16" s="50" t="s">
        <v>273</v>
      </c>
      <c r="D16" s="25"/>
      <c r="E16" s="20"/>
    </row>
    <row r="18" customFormat="false" ht="15" hidden="false" customHeight="true" outlineLevel="0" collapsed="false">
      <c r="B18" s="4" t="s">
        <v>274</v>
      </c>
      <c r="D18" s="51" t="str">
        <f aca="false">IFERROR(AVERAGE(D5:D16),"")</f>
        <v/>
      </c>
    </row>
  </sheetData>
  <mergeCells count="2">
    <mergeCell ref="A1:E1"/>
    <mergeCell ref="A2:E2"/>
  </mergeCells>
  <conditionalFormatting sqref="D5:D16">
    <cfRule type="colorScale" priority="2">
      <colorScale>
        <cfvo type="min" val="0"/>
        <cfvo type="percentile" val="50"/>
        <cfvo type="max" val="0"/>
        <color rgb="FFF4A9A9"/>
        <color rgb="FFFFE699"/>
        <color rgb="FFC6E0B4"/>
      </colorScale>
    </cfRule>
  </conditionalFormatting>
  <dataValidations count="1">
    <dataValidation allowBlank="true" errorStyle="stop" operator="between" showDropDown="false" showErrorMessage="false" showInputMessage="false" sqref="D5:D16" type="list">
      <formula1>"1,2,3,4,5"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1" width="30"/>
    <col collapsed="false" customWidth="true" hidden="false" outlineLevel="0" max="3" min="3" style="1" width="22"/>
    <col collapsed="false" customWidth="true" hidden="false" outlineLevel="0" max="4" min="4" style="1" width="16"/>
    <col collapsed="false" customWidth="true" hidden="false" outlineLevel="0" max="5" min="5" style="1" width="26"/>
  </cols>
  <sheetData>
    <row r="1" customFormat="false" ht="19.5" hidden="false" customHeight="true" outlineLevel="0" collapsed="false">
      <c r="A1" s="2" t="s">
        <v>275</v>
      </c>
      <c r="B1" s="2"/>
      <c r="C1" s="2"/>
      <c r="D1" s="2"/>
      <c r="E1" s="2"/>
    </row>
    <row r="2" customFormat="false" ht="15" hidden="false" customHeight="true" outlineLevel="0" collapsed="false">
      <c r="A2" s="28" t="s">
        <v>276</v>
      </c>
      <c r="B2" s="28"/>
      <c r="C2" s="28"/>
      <c r="D2" s="28"/>
      <c r="E2" s="28"/>
    </row>
    <row r="4" customFormat="false" ht="32.25" hidden="false" customHeight="true" outlineLevel="0" collapsed="false">
      <c r="A4" s="23" t="s">
        <v>277</v>
      </c>
      <c r="B4" s="23" t="s">
        <v>278</v>
      </c>
      <c r="C4" s="23" t="s">
        <v>279</v>
      </c>
      <c r="D4" s="23" t="s">
        <v>280</v>
      </c>
      <c r="E4" s="23" t="s">
        <v>281</v>
      </c>
    </row>
    <row r="5" customFormat="false" ht="60" hidden="false" customHeight="true" outlineLevel="0" collapsed="false">
      <c r="A5" s="42" t="s">
        <v>282</v>
      </c>
      <c r="B5" s="43" t="s">
        <v>283</v>
      </c>
      <c r="C5" s="20"/>
      <c r="D5" s="20"/>
      <c r="E5" s="20"/>
    </row>
    <row r="6" customFormat="false" ht="15" hidden="false" customHeight="true" outlineLevel="0" collapsed="false">
      <c r="A6" s="32"/>
      <c r="B6" s="32"/>
      <c r="C6" s="19"/>
      <c r="D6" s="19"/>
      <c r="E6" s="19"/>
    </row>
    <row r="7" customFormat="false" ht="15" hidden="false" customHeight="true" outlineLevel="0" collapsed="false">
      <c r="A7" s="32"/>
      <c r="B7" s="32"/>
      <c r="C7" s="19"/>
      <c r="D7" s="19"/>
      <c r="E7" s="19"/>
    </row>
    <row r="8" customFormat="false" ht="60" hidden="false" customHeight="true" outlineLevel="0" collapsed="false">
      <c r="A8" s="42" t="s">
        <v>284</v>
      </c>
      <c r="B8" s="43" t="s">
        <v>285</v>
      </c>
      <c r="C8" s="20"/>
      <c r="D8" s="20"/>
      <c r="E8" s="20"/>
    </row>
    <row r="9" customFormat="false" ht="15" hidden="false" customHeight="true" outlineLevel="0" collapsed="false">
      <c r="A9" s="32"/>
      <c r="B9" s="32"/>
      <c r="C9" s="19"/>
      <c r="D9" s="19"/>
      <c r="E9" s="19"/>
    </row>
    <row r="10" customFormat="false" ht="15" hidden="false" customHeight="true" outlineLevel="0" collapsed="false">
      <c r="A10" s="32"/>
      <c r="B10" s="32"/>
      <c r="C10" s="19"/>
      <c r="D10" s="19"/>
      <c r="E10" s="19"/>
    </row>
    <row r="11" customFormat="false" ht="60" hidden="false" customHeight="true" outlineLevel="0" collapsed="false">
      <c r="A11" s="42" t="s">
        <v>286</v>
      </c>
      <c r="B11" s="43" t="s">
        <v>287</v>
      </c>
      <c r="C11" s="20"/>
      <c r="D11" s="20"/>
      <c r="E11" s="20"/>
    </row>
    <row r="12" customFormat="false" ht="15" hidden="false" customHeight="true" outlineLevel="0" collapsed="false">
      <c r="A12" s="32"/>
      <c r="B12" s="32"/>
      <c r="C12" s="19"/>
      <c r="D12" s="19"/>
      <c r="E12" s="19"/>
    </row>
    <row r="13" customFormat="false" ht="15" hidden="false" customHeight="true" outlineLevel="0" collapsed="false">
      <c r="A13" s="32"/>
      <c r="B13" s="32"/>
      <c r="C13" s="19"/>
      <c r="D13" s="19"/>
      <c r="E13" s="19"/>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0"/>
    <col collapsed="false" customWidth="true" hidden="false" outlineLevel="0" max="4" min="2" style="1" width="14"/>
    <col collapsed="false" customWidth="true" hidden="false" outlineLevel="0" max="9" min="5" style="1" width="12"/>
    <col collapsed="false" customWidth="true" hidden="false" outlineLevel="0" max="10" min="10" style="1" width="26"/>
  </cols>
  <sheetData>
    <row r="1" customFormat="false" ht="19.5" hidden="false" customHeight="true" outlineLevel="0" collapsed="false">
      <c r="A1" s="2" t="s">
        <v>288</v>
      </c>
      <c r="B1" s="2"/>
      <c r="C1" s="2"/>
      <c r="D1" s="2"/>
      <c r="E1" s="2"/>
      <c r="F1" s="2"/>
      <c r="G1" s="2"/>
      <c r="H1" s="2"/>
      <c r="I1" s="2"/>
      <c r="J1" s="2"/>
    </row>
    <row r="2" customFormat="false" ht="26.25" hidden="false" customHeight="true" outlineLevel="0" collapsed="false">
      <c r="A2" s="28" t="s">
        <v>289</v>
      </c>
      <c r="B2" s="28"/>
      <c r="C2" s="28"/>
      <c r="D2" s="28"/>
      <c r="E2" s="28"/>
      <c r="F2" s="28"/>
      <c r="G2" s="28"/>
      <c r="H2" s="28"/>
      <c r="I2" s="28"/>
      <c r="J2" s="28"/>
    </row>
    <row r="4" customFormat="false" ht="30" hidden="false" customHeight="true" outlineLevel="0" collapsed="false">
      <c r="A4" s="23" t="s">
        <v>290</v>
      </c>
      <c r="B4" s="23" t="s">
        <v>291</v>
      </c>
      <c r="C4" s="23" t="s">
        <v>292</v>
      </c>
      <c r="D4" s="23" t="s">
        <v>293</v>
      </c>
      <c r="E4" s="23" t="s">
        <v>294</v>
      </c>
      <c r="F4" s="23" t="s">
        <v>295</v>
      </c>
      <c r="G4" s="23" t="s">
        <v>296</v>
      </c>
      <c r="H4" s="23" t="s">
        <v>297</v>
      </c>
      <c r="I4" s="23" t="s">
        <v>298</v>
      </c>
      <c r="J4" s="23" t="s">
        <v>69</v>
      </c>
    </row>
    <row r="5" customFormat="false" ht="15" hidden="false" customHeight="true" outlineLevel="0" collapsed="false">
      <c r="A5" s="20"/>
      <c r="B5" s="25"/>
      <c r="C5" s="25"/>
      <c r="D5" s="25"/>
      <c r="E5" s="25"/>
      <c r="F5" s="25"/>
      <c r="G5" s="25"/>
      <c r="H5" s="29" t="str">
        <f aca="false">IF(OR(F5="",G5=""),"",ABS(CODE(G5)-CODE(F5)))</f>
        <v/>
      </c>
      <c r="I5" s="20"/>
      <c r="J5" s="20"/>
    </row>
    <row r="6" customFormat="false" ht="15" hidden="false" customHeight="true" outlineLevel="0" collapsed="false">
      <c r="A6" s="20"/>
      <c r="B6" s="25"/>
      <c r="C6" s="25"/>
      <c r="D6" s="25"/>
      <c r="E6" s="25"/>
      <c r="F6" s="25"/>
      <c r="G6" s="25"/>
      <c r="H6" s="29" t="str">
        <f aca="false">IF(OR(F6="",G6=""),"",ABS(CODE(G6)-CODE(F6)))</f>
        <v/>
      </c>
      <c r="I6" s="20"/>
      <c r="J6" s="20"/>
    </row>
    <row r="7" customFormat="false" ht="15" hidden="false" customHeight="true" outlineLevel="0" collapsed="false">
      <c r="A7" s="20"/>
      <c r="B7" s="25"/>
      <c r="C7" s="25"/>
      <c r="D7" s="25"/>
      <c r="E7" s="25"/>
      <c r="F7" s="25"/>
      <c r="G7" s="25"/>
      <c r="H7" s="29" t="str">
        <f aca="false">IF(OR(F7="",G7=""),"",ABS(CODE(G7)-CODE(F7)))</f>
        <v/>
      </c>
      <c r="I7" s="20"/>
      <c r="J7" s="20"/>
    </row>
    <row r="8" customFormat="false" ht="15" hidden="false" customHeight="true" outlineLevel="0" collapsed="false">
      <c r="A8" s="20"/>
      <c r="B8" s="25"/>
      <c r="C8" s="25"/>
      <c r="D8" s="25"/>
      <c r="E8" s="25"/>
      <c r="F8" s="25"/>
      <c r="G8" s="25"/>
      <c r="H8" s="29" t="str">
        <f aca="false">IF(OR(F8="",G8=""),"",ABS(CODE(G8)-CODE(F8)))</f>
        <v/>
      </c>
      <c r="I8" s="20"/>
      <c r="J8" s="20"/>
    </row>
    <row r="9" customFormat="false" ht="15" hidden="false" customHeight="true" outlineLevel="0" collapsed="false">
      <c r="A9" s="20"/>
      <c r="B9" s="25"/>
      <c r="C9" s="25"/>
      <c r="D9" s="25"/>
      <c r="E9" s="25"/>
      <c r="F9" s="25"/>
      <c r="G9" s="25"/>
      <c r="H9" s="29" t="str">
        <f aca="false">IF(OR(F9="",G9=""),"",ABS(CODE(G9)-CODE(F9)))</f>
        <v/>
      </c>
      <c r="I9" s="20"/>
      <c r="J9" s="20"/>
    </row>
    <row r="10" customFormat="false" ht="15" hidden="false" customHeight="true" outlineLevel="0" collapsed="false">
      <c r="A10" s="20"/>
      <c r="B10" s="25"/>
      <c r="C10" s="25"/>
      <c r="D10" s="25"/>
      <c r="E10" s="25"/>
      <c r="F10" s="25"/>
      <c r="G10" s="25"/>
      <c r="H10" s="29" t="str">
        <f aca="false">IF(OR(F10="",G10=""),"",ABS(CODE(G10)-CODE(F10)))</f>
        <v/>
      </c>
      <c r="I10" s="20"/>
      <c r="J10" s="20"/>
    </row>
    <row r="11" customFormat="false" ht="15" hidden="false" customHeight="true" outlineLevel="0" collapsed="false">
      <c r="A11" s="20"/>
      <c r="B11" s="25"/>
      <c r="C11" s="25"/>
      <c r="D11" s="25"/>
      <c r="E11" s="25"/>
      <c r="F11" s="25"/>
      <c r="G11" s="25"/>
      <c r="H11" s="29" t="str">
        <f aca="false">IF(OR(F11="",G11=""),"",ABS(CODE(G11)-CODE(F11)))</f>
        <v/>
      </c>
      <c r="I11" s="20"/>
      <c r="J11" s="20"/>
    </row>
    <row r="12" customFormat="false" ht="15" hidden="false" customHeight="true" outlineLevel="0" collapsed="false">
      <c r="A12" s="20"/>
      <c r="B12" s="25"/>
      <c r="C12" s="25"/>
      <c r="D12" s="25"/>
      <c r="E12" s="25"/>
      <c r="F12" s="25"/>
      <c r="G12" s="25"/>
      <c r="H12" s="29" t="str">
        <f aca="false">IF(OR(F12="",G12=""),"",ABS(CODE(G12)-CODE(F12)))</f>
        <v/>
      </c>
      <c r="I12" s="20"/>
      <c r="J12" s="20"/>
    </row>
    <row r="14" customFormat="false" ht="60" hidden="false" customHeight="true" outlineLevel="0" collapsed="false">
      <c r="A14" s="28" t="s">
        <v>299</v>
      </c>
      <c r="B14" s="28"/>
      <c r="C14" s="28"/>
      <c r="D14" s="28"/>
      <c r="E14" s="28"/>
      <c r="F14" s="28"/>
      <c r="G14" s="28"/>
      <c r="H14" s="28"/>
      <c r="I14" s="28"/>
      <c r="J14" s="28"/>
    </row>
    <row r="16" customFormat="false" ht="15" hidden="false" customHeight="true" outlineLevel="0" collapsed="false">
      <c r="A16" s="26" t="s">
        <v>300</v>
      </c>
      <c r="B16" s="26"/>
      <c r="C16" s="26"/>
      <c r="D16" s="26"/>
      <c r="E16" s="26"/>
      <c r="F16" s="26"/>
      <c r="G16" s="26"/>
      <c r="H16" s="26"/>
      <c r="I16" s="26"/>
      <c r="J16" s="26"/>
    </row>
    <row r="17" customFormat="false" ht="16.5" hidden="false" customHeight="true" outlineLevel="0" collapsed="false">
      <c r="A17" s="23" t="s">
        <v>301</v>
      </c>
      <c r="B17" s="23" t="s">
        <v>302</v>
      </c>
      <c r="C17" s="23"/>
      <c r="D17" s="23" t="s">
        <v>303</v>
      </c>
      <c r="E17" s="23"/>
      <c r="F17" s="23"/>
      <c r="G17" s="23"/>
      <c r="H17" s="23"/>
      <c r="I17" s="23"/>
      <c r="J17" s="23"/>
    </row>
    <row r="18" customFormat="false" ht="30" hidden="false" customHeight="true" outlineLevel="0" collapsed="false">
      <c r="A18" s="18" t="s">
        <v>304</v>
      </c>
      <c r="B18" s="50" t="s">
        <v>305</v>
      </c>
      <c r="C18" s="50"/>
      <c r="D18" s="50" t="s">
        <v>306</v>
      </c>
      <c r="E18" s="50"/>
      <c r="F18" s="50"/>
      <c r="G18" s="50"/>
      <c r="H18" s="50"/>
      <c r="I18" s="50"/>
      <c r="J18" s="50"/>
    </row>
    <row r="19" customFormat="false" ht="30" hidden="false" customHeight="true" outlineLevel="0" collapsed="false">
      <c r="A19" s="18" t="s">
        <v>307</v>
      </c>
      <c r="B19" s="50" t="s">
        <v>308</v>
      </c>
      <c r="C19" s="50"/>
      <c r="D19" s="50" t="s">
        <v>309</v>
      </c>
      <c r="E19" s="50"/>
      <c r="F19" s="50"/>
      <c r="G19" s="50"/>
      <c r="H19" s="50"/>
      <c r="I19" s="50"/>
      <c r="J19" s="50"/>
    </row>
    <row r="20" customFormat="false" ht="30" hidden="false" customHeight="true" outlineLevel="0" collapsed="false">
      <c r="A20" s="18" t="s">
        <v>310</v>
      </c>
      <c r="B20" s="50" t="s">
        <v>311</v>
      </c>
      <c r="C20" s="50"/>
      <c r="D20" s="50" t="s">
        <v>312</v>
      </c>
      <c r="E20" s="50"/>
      <c r="F20" s="50"/>
      <c r="G20" s="50"/>
      <c r="H20" s="50"/>
      <c r="I20" s="50"/>
      <c r="J20" s="50"/>
    </row>
  </sheetData>
  <mergeCells count="10">
    <mergeCell ref="A1:J1"/>
    <mergeCell ref="A2:J2"/>
    <mergeCell ref="A14:J14"/>
    <mergeCell ref="A16:J16"/>
    <mergeCell ref="B18:C18"/>
    <mergeCell ref="D18:J18"/>
    <mergeCell ref="B19:C19"/>
    <mergeCell ref="D19:J19"/>
    <mergeCell ref="B20:C20"/>
    <mergeCell ref="D20:J20"/>
  </mergeCells>
  <dataValidations count="2">
    <dataValidation allowBlank="true" errorStyle="stop" operator="between" showDropDown="false" showErrorMessage="false" showInputMessage="false" sqref="B5:E12" type="list">
      <formula1>"高,中,低"</formula1>
      <formula2>0</formula2>
    </dataValidation>
    <dataValidation allowBlank="true" errorStyle="stop" operator="between" showDropDown="false" showErrorMessage="false" showInputMessage="false" sqref="F5:G12" type="list">
      <formula1>"①不認識,②抵抗,③中立,④支援,⑤指導"</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46"/>
    <col collapsed="false" customWidth="true" hidden="false" outlineLevel="0" max="3" min="3" style="1" width="12"/>
    <col collapsed="false" customWidth="true" hidden="false" outlineLevel="0" max="4" min="4" style="1" width="26"/>
  </cols>
  <sheetData>
    <row r="1" customFormat="false" ht="19.5" hidden="false" customHeight="true" outlineLevel="0" collapsed="false">
      <c r="A1" s="2" t="s">
        <v>313</v>
      </c>
      <c r="B1" s="2"/>
      <c r="C1" s="2"/>
      <c r="D1" s="2"/>
    </row>
    <row r="2" customFormat="false" ht="15" hidden="false" customHeight="true" outlineLevel="0" collapsed="false">
      <c r="A2" s="28" t="s">
        <v>314</v>
      </c>
      <c r="B2" s="28"/>
      <c r="C2" s="28"/>
      <c r="D2" s="28"/>
    </row>
    <row r="4" customFormat="false" ht="15" hidden="false" customHeight="true" outlineLevel="0" collapsed="false">
      <c r="A4" s="26" t="s">
        <v>315</v>
      </c>
      <c r="B4" s="26"/>
      <c r="C4" s="26"/>
      <c r="D4" s="26"/>
    </row>
    <row r="5" customFormat="false" ht="16.5" hidden="false" customHeight="true" outlineLevel="0" collapsed="false">
      <c r="A5" s="23" t="s">
        <v>316</v>
      </c>
      <c r="B5" s="23" t="s">
        <v>317</v>
      </c>
      <c r="C5" s="23" t="s">
        <v>318</v>
      </c>
      <c r="D5" s="23" t="s">
        <v>156</v>
      </c>
    </row>
    <row r="6" customFormat="false" ht="27.75" hidden="false" customHeight="true" outlineLevel="0" collapsed="false">
      <c r="A6" s="42" t="s">
        <v>319</v>
      </c>
      <c r="B6" s="50" t="s">
        <v>320</v>
      </c>
      <c r="C6" s="25"/>
      <c r="D6" s="20"/>
    </row>
    <row r="7" customFormat="false" ht="27.75" hidden="false" customHeight="true" outlineLevel="0" collapsed="false">
      <c r="A7" s="42" t="s">
        <v>321</v>
      </c>
      <c r="B7" s="50" t="s">
        <v>322</v>
      </c>
      <c r="C7" s="25"/>
      <c r="D7" s="20"/>
    </row>
    <row r="8" customFormat="false" ht="27.75" hidden="false" customHeight="true" outlineLevel="0" collapsed="false">
      <c r="A8" s="42" t="s">
        <v>323</v>
      </c>
      <c r="B8" s="50" t="s">
        <v>324</v>
      </c>
      <c r="C8" s="25"/>
      <c r="D8" s="20"/>
    </row>
    <row r="9" customFormat="false" ht="27.75" hidden="false" customHeight="true" outlineLevel="0" collapsed="false">
      <c r="A9" s="42" t="s">
        <v>325</v>
      </c>
      <c r="B9" s="50" t="s">
        <v>326</v>
      </c>
      <c r="C9" s="25"/>
      <c r="D9" s="20"/>
    </row>
    <row r="10" customFormat="false" ht="27.75" hidden="false" customHeight="true" outlineLevel="0" collapsed="false">
      <c r="A10" s="42" t="s">
        <v>327</v>
      </c>
      <c r="B10" s="50" t="s">
        <v>328</v>
      </c>
      <c r="C10" s="25"/>
      <c r="D10" s="20"/>
    </row>
    <row r="11" customFormat="false" ht="27.75" hidden="false" customHeight="true" outlineLevel="0" collapsed="false">
      <c r="A11" s="42" t="s">
        <v>269</v>
      </c>
      <c r="B11" s="50" t="s">
        <v>329</v>
      </c>
      <c r="C11" s="25"/>
      <c r="D11" s="20"/>
    </row>
    <row r="12" customFormat="false" ht="27.75" hidden="false" customHeight="true" outlineLevel="0" collapsed="false">
      <c r="A12" s="42" t="s">
        <v>330</v>
      </c>
      <c r="B12" s="50" t="s">
        <v>331</v>
      </c>
      <c r="C12" s="25"/>
      <c r="D12" s="20"/>
    </row>
    <row r="13" customFormat="false" ht="27.75" hidden="false" customHeight="true" outlineLevel="0" collapsed="false">
      <c r="A13" s="42" t="s">
        <v>332</v>
      </c>
      <c r="B13" s="50" t="s">
        <v>333</v>
      </c>
      <c r="C13" s="25"/>
      <c r="D13" s="20"/>
    </row>
    <row r="15" customFormat="false" ht="15" hidden="false" customHeight="true" outlineLevel="0" collapsed="false">
      <c r="A15" s="39" t="s">
        <v>334</v>
      </c>
      <c r="B15" s="39"/>
      <c r="C15" s="51" t="str">
        <f aca="false">IFERROR(AVERAGE(C6:C13),"")</f>
        <v/>
      </c>
    </row>
    <row r="17" customFormat="false" ht="15" hidden="false" customHeight="true" outlineLevel="0" collapsed="false">
      <c r="A17" s="26" t="s">
        <v>335</v>
      </c>
      <c r="B17" s="26"/>
      <c r="C17" s="26"/>
      <c r="D17" s="26"/>
    </row>
    <row r="18" customFormat="false" ht="63.75" hidden="false" customHeight="true" outlineLevel="0" collapsed="false">
      <c r="A18" s="23" t="s">
        <v>336</v>
      </c>
      <c r="B18" s="23" t="s">
        <v>337</v>
      </c>
      <c r="C18" s="23" t="s">
        <v>338</v>
      </c>
      <c r="D18" s="23" t="s">
        <v>339</v>
      </c>
    </row>
    <row r="19" customFormat="false" ht="15" hidden="false" customHeight="true" outlineLevel="0" collapsed="false">
      <c r="A19" s="20"/>
      <c r="B19" s="20"/>
      <c r="C19" s="20"/>
      <c r="D19" s="20"/>
    </row>
    <row r="20" customFormat="false" ht="15" hidden="false" customHeight="true" outlineLevel="0" collapsed="false">
      <c r="A20" s="20"/>
      <c r="B20" s="20"/>
      <c r="C20" s="20"/>
      <c r="D20" s="20"/>
    </row>
    <row r="21" customFormat="false" ht="15" hidden="false" customHeight="true" outlineLevel="0" collapsed="false">
      <c r="A21" s="20"/>
      <c r="B21" s="20"/>
      <c r="C21" s="20"/>
      <c r="D21" s="20"/>
    </row>
    <row r="22" customFormat="false" ht="15" hidden="false" customHeight="true" outlineLevel="0" collapsed="false">
      <c r="A22" s="20"/>
      <c r="B22" s="20"/>
      <c r="C22" s="20"/>
      <c r="D22" s="20"/>
    </row>
    <row r="23" customFormat="false" ht="15" hidden="false" customHeight="true" outlineLevel="0" collapsed="false">
      <c r="A23" s="20"/>
      <c r="B23" s="20"/>
      <c r="C23" s="20"/>
      <c r="D23" s="20"/>
    </row>
    <row r="24" customFormat="false" ht="15" hidden="false" customHeight="true" outlineLevel="0" collapsed="false">
      <c r="A24" s="20"/>
      <c r="B24" s="20"/>
      <c r="C24" s="20"/>
      <c r="D24" s="20"/>
    </row>
    <row r="26" customFormat="false" ht="15" hidden="false" customHeight="true" outlineLevel="0" collapsed="false">
      <c r="A26" s="26" t="s">
        <v>340</v>
      </c>
      <c r="B26" s="26"/>
      <c r="C26" s="26"/>
      <c r="D26" s="26"/>
    </row>
    <row r="27" customFormat="false" ht="26.25" hidden="false" customHeight="true" outlineLevel="0" collapsed="false">
      <c r="A27" s="30" t="s">
        <v>341</v>
      </c>
      <c r="B27" s="30"/>
      <c r="C27" s="30"/>
      <c r="D27" s="30"/>
    </row>
    <row r="28" customFormat="false" ht="32.25" hidden="false" customHeight="true" outlineLevel="0" collapsed="false">
      <c r="A28" s="23" t="s">
        <v>342</v>
      </c>
      <c r="B28" s="23" t="s">
        <v>343</v>
      </c>
      <c r="C28" s="23" t="s">
        <v>344</v>
      </c>
      <c r="D28" s="23" t="s">
        <v>345</v>
      </c>
    </row>
    <row r="29" customFormat="false" ht="15" hidden="false" customHeight="true" outlineLevel="0" collapsed="false">
      <c r="A29" s="20"/>
      <c r="B29" s="20"/>
      <c r="C29" s="25"/>
      <c r="D29" s="20"/>
    </row>
    <row r="30" customFormat="false" ht="15" hidden="false" customHeight="true" outlineLevel="0" collapsed="false">
      <c r="A30" s="20"/>
      <c r="B30" s="20"/>
      <c r="C30" s="25"/>
      <c r="D30" s="20"/>
    </row>
    <row r="31" customFormat="false" ht="15" hidden="false" customHeight="true" outlineLevel="0" collapsed="false">
      <c r="A31" s="20"/>
      <c r="B31" s="20"/>
      <c r="C31" s="25"/>
      <c r="D31" s="20"/>
    </row>
    <row r="32" customFormat="false" ht="15" hidden="false" customHeight="true" outlineLevel="0" collapsed="false">
      <c r="A32" s="20"/>
      <c r="B32" s="20"/>
      <c r="C32" s="25"/>
      <c r="D32" s="20"/>
    </row>
    <row r="33" customFormat="false" ht="15" hidden="false" customHeight="true" outlineLevel="0" collapsed="false">
      <c r="A33" s="20"/>
      <c r="B33" s="20"/>
      <c r="C33" s="25"/>
      <c r="D33" s="20"/>
    </row>
    <row r="34" customFormat="false" ht="15" hidden="false" customHeight="true" outlineLevel="0" collapsed="false">
      <c r="A34" s="20"/>
      <c r="B34" s="20"/>
      <c r="C34" s="25"/>
      <c r="D34" s="20"/>
    </row>
  </sheetData>
  <mergeCells count="7">
    <mergeCell ref="A1:D1"/>
    <mergeCell ref="A2:D2"/>
    <mergeCell ref="A4:D4"/>
    <mergeCell ref="A15:B15"/>
    <mergeCell ref="A17:D17"/>
    <mergeCell ref="A26:D26"/>
    <mergeCell ref="A27:D27"/>
  </mergeCells>
  <conditionalFormatting sqref="C6:C13">
    <cfRule type="colorScale" priority="2">
      <colorScale>
        <cfvo type="min" val="0"/>
        <cfvo type="percentile" val="50"/>
        <cfvo type="max" val="0"/>
        <color rgb="FFF4A9A9"/>
        <color rgb="FFFFE699"/>
        <color rgb="FFC6E0B4"/>
      </colorScale>
    </cfRule>
  </conditionalFormatting>
  <dataValidations count="2">
    <dataValidation allowBlank="true" errorStyle="stop" operator="between" showDropDown="false" showErrorMessage="false" showInputMessage="false" sqref="C6:C13" type="list">
      <formula1>"1,2,3,4,5"</formula1>
      <formula2>0</formula2>
    </dataValidation>
    <dataValidation allowBlank="true" errorStyle="stop" operator="between" showDropDown="false" showErrorMessage="false" showInputMessage="false" sqref="C29:C34" type="list">
      <formula1>"①撤退・回避,②鎮静・適応,③妥協,④強制・指示,⑤協力・問題解決"</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40"/>
    <col collapsed="false" customWidth="true" hidden="false" outlineLevel="0" max="3" min="3" style="1" width="16"/>
    <col collapsed="false" customWidth="true" hidden="false" outlineLevel="0" max="4" min="4" style="1" width="30"/>
  </cols>
  <sheetData>
    <row r="1" customFormat="false" ht="19.5" hidden="false" customHeight="true" outlineLevel="0" collapsed="false">
      <c r="A1" s="2" t="s">
        <v>346</v>
      </c>
      <c r="B1" s="2"/>
      <c r="C1" s="2"/>
      <c r="D1" s="2"/>
    </row>
    <row r="2" customFormat="false" ht="26.25" hidden="false" customHeight="true" outlineLevel="0" collapsed="false">
      <c r="A2" s="30" t="s">
        <v>347</v>
      </c>
      <c r="B2" s="30"/>
      <c r="C2" s="30"/>
      <c r="D2" s="30"/>
    </row>
    <row r="4" customFormat="false" ht="15" hidden="false" customHeight="true" outlineLevel="0" collapsed="false">
      <c r="A4" s="26" t="s">
        <v>348</v>
      </c>
      <c r="B4" s="26"/>
      <c r="C4" s="26"/>
      <c r="D4" s="26"/>
    </row>
    <row r="5" customFormat="false" ht="43.5" hidden="false" customHeight="true" outlineLevel="0" collapsed="false">
      <c r="A5" s="52" t="s">
        <v>349</v>
      </c>
      <c r="B5" s="52" t="s">
        <v>350</v>
      </c>
      <c r="C5" s="52" t="s">
        <v>351</v>
      </c>
      <c r="D5" s="52" t="s">
        <v>69</v>
      </c>
    </row>
    <row r="6" customFormat="false" ht="15" hidden="false" customHeight="true" outlineLevel="0" collapsed="false">
      <c r="A6" s="31" t="s">
        <v>352</v>
      </c>
      <c r="B6" s="50" t="s">
        <v>353</v>
      </c>
      <c r="C6" s="25"/>
      <c r="D6" s="20"/>
    </row>
    <row r="7" customFormat="false" ht="15" hidden="false" customHeight="true" outlineLevel="0" collapsed="false">
      <c r="A7" s="31" t="s">
        <v>354</v>
      </c>
      <c r="B7" s="50" t="s">
        <v>355</v>
      </c>
      <c r="C7" s="25"/>
      <c r="D7" s="20"/>
    </row>
    <row r="8" customFormat="false" ht="15" hidden="false" customHeight="true" outlineLevel="0" collapsed="false">
      <c r="A8" s="31" t="s">
        <v>356</v>
      </c>
      <c r="B8" s="50" t="s">
        <v>357</v>
      </c>
      <c r="C8" s="25"/>
      <c r="D8" s="20"/>
    </row>
    <row r="10" customFormat="false" ht="15" hidden="false" customHeight="true" outlineLevel="0" collapsed="false">
      <c r="A10" s="26" t="s">
        <v>358</v>
      </c>
      <c r="B10" s="26"/>
      <c r="C10" s="26"/>
      <c r="D10" s="26"/>
    </row>
    <row r="11" customFormat="false" ht="43.5" hidden="false" customHeight="true" outlineLevel="0" collapsed="false">
      <c r="A11" s="52" t="s">
        <v>349</v>
      </c>
      <c r="B11" s="52" t="s">
        <v>350</v>
      </c>
      <c r="C11" s="52" t="s">
        <v>351</v>
      </c>
      <c r="D11" s="52" t="s">
        <v>69</v>
      </c>
    </row>
    <row r="12" customFormat="false" ht="29.25" hidden="false" customHeight="true" outlineLevel="0" collapsed="false">
      <c r="A12" s="31" t="s">
        <v>359</v>
      </c>
      <c r="B12" s="50" t="s">
        <v>360</v>
      </c>
      <c r="C12" s="25"/>
      <c r="D12" s="20"/>
    </row>
    <row r="13" customFormat="false" ht="29.25" hidden="false" customHeight="true" outlineLevel="0" collapsed="false">
      <c r="A13" s="31" t="s">
        <v>361</v>
      </c>
      <c r="B13" s="50" t="s">
        <v>362</v>
      </c>
      <c r="C13" s="25"/>
      <c r="D13" s="20"/>
    </row>
    <row r="14" customFormat="false" ht="15" hidden="false" customHeight="true" outlineLevel="0" collapsed="false">
      <c r="A14" s="31" t="s">
        <v>363</v>
      </c>
      <c r="B14" s="50" t="s">
        <v>364</v>
      </c>
      <c r="C14" s="25"/>
      <c r="D14" s="20"/>
    </row>
    <row r="15" customFormat="false" ht="15" hidden="false" customHeight="true" outlineLevel="0" collapsed="false">
      <c r="A15" s="31" t="s">
        <v>365</v>
      </c>
      <c r="B15" s="50" t="s">
        <v>366</v>
      </c>
      <c r="C15" s="25"/>
      <c r="D15" s="20"/>
    </row>
    <row r="17" customFormat="false" ht="15" hidden="false" customHeight="true" outlineLevel="0" collapsed="false">
      <c r="A17" s="26" t="s">
        <v>367</v>
      </c>
      <c r="B17" s="26"/>
      <c r="C17" s="26"/>
      <c r="D17" s="26"/>
    </row>
    <row r="18" customFormat="false" ht="43.5" hidden="false" customHeight="true" outlineLevel="0" collapsed="false">
      <c r="A18" s="52" t="s">
        <v>349</v>
      </c>
      <c r="B18" s="52" t="s">
        <v>350</v>
      </c>
      <c r="C18" s="52" t="s">
        <v>351</v>
      </c>
      <c r="D18" s="52" t="s">
        <v>69</v>
      </c>
    </row>
    <row r="19" customFormat="false" ht="15" hidden="false" customHeight="true" outlineLevel="0" collapsed="false">
      <c r="A19" s="31" t="s">
        <v>111</v>
      </c>
      <c r="B19" s="50" t="s">
        <v>368</v>
      </c>
      <c r="C19" s="25"/>
      <c r="D19" s="20"/>
    </row>
    <row r="20" customFormat="false" ht="15" hidden="false" customHeight="true" outlineLevel="0" collapsed="false">
      <c r="A20" s="31" t="s">
        <v>369</v>
      </c>
      <c r="B20" s="50" t="s">
        <v>370</v>
      </c>
      <c r="C20" s="25"/>
      <c r="D20" s="20"/>
    </row>
    <row r="21" customFormat="false" ht="15" hidden="false" customHeight="true" outlineLevel="0" collapsed="false">
      <c r="A21" s="31" t="s">
        <v>371</v>
      </c>
      <c r="B21" s="50" t="s">
        <v>372</v>
      </c>
      <c r="C21" s="25"/>
      <c r="D21" s="20"/>
    </row>
    <row r="24" customFormat="false" ht="15" hidden="false" customHeight="true" outlineLevel="0" collapsed="false">
      <c r="A24" s="26" t="s">
        <v>373</v>
      </c>
      <c r="B24" s="26"/>
      <c r="C24" s="26"/>
      <c r="D24" s="26"/>
    </row>
    <row r="25" customFormat="false" ht="15" hidden="false" customHeight="true" outlineLevel="0" collapsed="false">
      <c r="A25" s="18" t="s">
        <v>374</v>
      </c>
      <c r="B25" s="53" t="n">
        <f aca="false">COUNTIF(C5:C23,"予測型寄り")</f>
        <v>0</v>
      </c>
      <c r="C25" s="18" t="s">
        <v>375</v>
      </c>
      <c r="D25" s="53" t="n">
        <f aca="false">COUNTIF(C5:C23,"適応型寄り")</f>
        <v>0</v>
      </c>
    </row>
    <row r="26" customFormat="false" ht="15" hidden="false" customHeight="true" outlineLevel="0" collapsed="false">
      <c r="A26" s="39" t="s">
        <v>376</v>
      </c>
      <c r="B26" s="39"/>
      <c r="C26" s="54" t="str">
        <f aca="false">IF(B25=D25,"ハイブリッド型を検討",IF(B25&gt;D25,"予測型（ウォーターフォール型）","適応型（反復型/漸進型/アジャイル型）"))</f>
        <v>ハイブリッド型を検討</v>
      </c>
      <c r="D26" s="54"/>
    </row>
  </sheetData>
  <mergeCells count="8">
    <mergeCell ref="A1:D1"/>
    <mergeCell ref="A2:D2"/>
    <mergeCell ref="A4:D4"/>
    <mergeCell ref="A10:D10"/>
    <mergeCell ref="A17:D17"/>
    <mergeCell ref="A24:D24"/>
    <mergeCell ref="A26:B26"/>
    <mergeCell ref="C26:D26"/>
  </mergeCells>
  <dataValidations count="1">
    <dataValidation allowBlank="true" errorStyle="stop" operator="between" showDropDown="false" showErrorMessage="false" showInputMessage="false" sqref="C5:C40" type="list">
      <formula1>"予測型寄り,適応型寄り"</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0"/>
    <col collapsed="false" customWidth="true" hidden="false" outlineLevel="0" max="2" min="2" style="1" width="34"/>
    <col collapsed="false" customWidth="true" hidden="false" outlineLevel="0" max="3" min="3" style="1" width="20"/>
    <col collapsed="false" customWidth="true" hidden="false" outlineLevel="0" max="4" min="4" style="1" width="24"/>
  </cols>
  <sheetData>
    <row r="1" customFormat="false" ht="19.5" hidden="false" customHeight="true" outlineLevel="0" collapsed="false">
      <c r="A1" s="2" t="s">
        <v>377</v>
      </c>
      <c r="B1" s="2"/>
      <c r="C1" s="2"/>
      <c r="D1" s="2"/>
    </row>
    <row r="2" customFormat="false" ht="15" hidden="false" customHeight="true" outlineLevel="0" collapsed="false">
      <c r="A2" s="28" t="s">
        <v>378</v>
      </c>
      <c r="B2" s="28"/>
      <c r="C2" s="28"/>
      <c r="D2" s="28"/>
    </row>
    <row r="4" customFormat="false" ht="15" hidden="false" customHeight="true" outlineLevel="0" collapsed="false">
      <c r="A4" s="26" t="s">
        <v>379</v>
      </c>
      <c r="B4" s="26"/>
      <c r="C4" s="26"/>
      <c r="D4" s="26"/>
    </row>
    <row r="5" customFormat="false" ht="32.25" hidden="false" customHeight="true" outlineLevel="0" collapsed="false">
      <c r="A5" s="23" t="s">
        <v>380</v>
      </c>
      <c r="B5" s="23" t="s">
        <v>381</v>
      </c>
      <c r="C5" s="23" t="s">
        <v>382</v>
      </c>
      <c r="D5" s="23" t="s">
        <v>383</v>
      </c>
    </row>
    <row r="6" customFormat="false" ht="15" hidden="false" customHeight="true" outlineLevel="0" collapsed="false">
      <c r="A6" s="20"/>
      <c r="B6" s="25"/>
      <c r="C6" s="20"/>
      <c r="D6" s="20"/>
    </row>
    <row r="7" customFormat="false" ht="15" hidden="false" customHeight="true" outlineLevel="0" collapsed="false">
      <c r="A7" s="20"/>
      <c r="B7" s="25"/>
      <c r="C7" s="20"/>
      <c r="D7" s="20"/>
    </row>
    <row r="8" customFormat="false" ht="15" hidden="false" customHeight="true" outlineLevel="0" collapsed="false">
      <c r="A8" s="20"/>
      <c r="B8" s="25"/>
      <c r="C8" s="20"/>
      <c r="D8" s="20"/>
    </row>
    <row r="9" customFormat="false" ht="15" hidden="false" customHeight="true" outlineLevel="0" collapsed="false">
      <c r="A9" s="20"/>
      <c r="B9" s="25"/>
      <c r="C9" s="20"/>
      <c r="D9" s="20"/>
    </row>
    <row r="10" customFormat="false" ht="15" hidden="false" customHeight="true" outlineLevel="0" collapsed="false">
      <c r="A10" s="20"/>
      <c r="B10" s="25"/>
      <c r="C10" s="20"/>
      <c r="D10" s="20"/>
    </row>
    <row r="11" customFormat="false" ht="15" hidden="false" customHeight="true" outlineLevel="0" collapsed="false">
      <c r="A11" s="20"/>
      <c r="B11" s="25"/>
      <c r="C11" s="20"/>
      <c r="D11" s="20"/>
    </row>
    <row r="12" customFormat="false" ht="15" hidden="false" customHeight="true" outlineLevel="0" collapsed="false">
      <c r="A12" s="20"/>
      <c r="B12" s="25"/>
      <c r="C12" s="20"/>
      <c r="D12" s="20"/>
    </row>
    <row r="13" customFormat="false" ht="15" hidden="false" customHeight="true" outlineLevel="0" collapsed="false">
      <c r="A13" s="20"/>
      <c r="B13" s="25"/>
      <c r="C13" s="20"/>
      <c r="D13" s="20"/>
    </row>
    <row r="15" customFormat="false" ht="15" hidden="false" customHeight="true" outlineLevel="0" collapsed="false">
      <c r="A15" s="26" t="s">
        <v>384</v>
      </c>
      <c r="B15" s="26"/>
      <c r="C15" s="26"/>
      <c r="D15" s="26"/>
    </row>
    <row r="16" customFormat="false" ht="26.25" hidden="false" customHeight="true" outlineLevel="0" collapsed="false">
      <c r="A16" s="28" t="s">
        <v>385</v>
      </c>
      <c r="B16" s="28"/>
      <c r="C16" s="28"/>
      <c r="D16" s="28"/>
    </row>
    <row r="17" customFormat="false" ht="16.5" hidden="false" customHeight="true" outlineLevel="0" collapsed="false">
      <c r="A17" s="23" t="s">
        <v>386</v>
      </c>
      <c r="B17" s="23" t="s">
        <v>387</v>
      </c>
      <c r="C17" s="23" t="s">
        <v>388</v>
      </c>
      <c r="D17" s="23" t="s">
        <v>389</v>
      </c>
    </row>
    <row r="18" customFormat="false" ht="43.5" hidden="false" customHeight="true" outlineLevel="0" collapsed="false">
      <c r="A18" s="42" t="s">
        <v>390</v>
      </c>
      <c r="B18" s="25"/>
      <c r="C18" s="32"/>
      <c r="D18" s="20"/>
    </row>
    <row r="19" customFormat="false" ht="43.5" hidden="false" customHeight="true" outlineLevel="0" collapsed="false">
      <c r="A19" s="42" t="s">
        <v>391</v>
      </c>
      <c r="B19" s="25"/>
      <c r="C19" s="55" t="s">
        <v>58</v>
      </c>
      <c r="D19" s="20"/>
    </row>
    <row r="20" customFormat="false" ht="43.5" hidden="false" customHeight="true" outlineLevel="0" collapsed="false">
      <c r="A20" s="42" t="s">
        <v>392</v>
      </c>
      <c r="B20" s="56" t="n">
        <f aca="false">IFERROR(B18+B19,"")</f>
        <v>0</v>
      </c>
      <c r="C20" s="32"/>
      <c r="D20" s="20"/>
    </row>
    <row r="21" customFormat="false" ht="43.5" hidden="false" customHeight="true" outlineLevel="0" collapsed="false">
      <c r="A21" s="42" t="s">
        <v>393</v>
      </c>
      <c r="B21" s="25"/>
      <c r="C21" s="55" t="s">
        <v>394</v>
      </c>
      <c r="D21" s="20"/>
    </row>
    <row r="22" customFormat="false" ht="43.5" hidden="false" customHeight="true" outlineLevel="0" collapsed="false">
      <c r="A22" s="42" t="s">
        <v>395</v>
      </c>
      <c r="B22" s="56" t="n">
        <f aca="false">IFERROR(B20+B21,"")</f>
        <v>0</v>
      </c>
      <c r="C22" s="32"/>
      <c r="D22" s="20"/>
    </row>
  </sheetData>
  <mergeCells count="5">
    <mergeCell ref="A1:D1"/>
    <mergeCell ref="A2:D2"/>
    <mergeCell ref="A4:D4"/>
    <mergeCell ref="A15:D15"/>
    <mergeCell ref="A16:D16"/>
  </mergeCells>
  <dataValidations count="1">
    <dataValidation allowBlank="true" errorStyle="stop" operator="between" showDropDown="false" showErrorMessage="false" showInputMessage="false" sqref="B6:B13" type="list">
      <formula1>"確定的見積り,確率論的見積り（三点見積り）,絶対的見積り,相対的見積り,フローベースの見積り"</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0"/>
    <col collapsed="false" customWidth="true" hidden="false" outlineLevel="0" max="2" min="2" style="1" width="30"/>
    <col collapsed="false" customWidth="true" hidden="false" outlineLevel="0" max="3" min="3" style="1" width="16"/>
    <col collapsed="false" customWidth="true" hidden="false" outlineLevel="0" max="4" min="4" style="1" width="14"/>
    <col collapsed="false" customWidth="true" hidden="false" outlineLevel="0" max="5" min="5" style="1" width="24"/>
  </cols>
  <sheetData>
    <row r="1" customFormat="false" ht="19.5" hidden="false" customHeight="true" outlineLevel="0" collapsed="false">
      <c r="A1" s="2" t="s">
        <v>396</v>
      </c>
      <c r="B1" s="2"/>
      <c r="C1" s="2"/>
      <c r="D1" s="2"/>
      <c r="E1" s="2"/>
    </row>
    <row r="2" customFormat="false" ht="15" hidden="false" customHeight="true" outlineLevel="0" collapsed="false">
      <c r="A2" s="28" t="s">
        <v>397</v>
      </c>
      <c r="B2" s="28"/>
      <c r="C2" s="28"/>
      <c r="D2" s="28"/>
      <c r="E2" s="28"/>
    </row>
    <row r="4" customFormat="false" ht="15" hidden="false" customHeight="true" outlineLevel="0" collapsed="false">
      <c r="A4" s="26" t="s">
        <v>398</v>
      </c>
      <c r="B4" s="26"/>
      <c r="C4" s="26"/>
      <c r="D4" s="26"/>
      <c r="E4" s="26"/>
    </row>
    <row r="5" customFormat="false" ht="32.25" hidden="false" customHeight="true" outlineLevel="0" collapsed="false">
      <c r="A5" s="23" t="s">
        <v>399</v>
      </c>
      <c r="B5" s="23" t="s">
        <v>400</v>
      </c>
      <c r="C5" s="23" t="s">
        <v>401</v>
      </c>
      <c r="D5" s="23" t="s">
        <v>156</v>
      </c>
      <c r="E5" s="23" t="s">
        <v>402</v>
      </c>
    </row>
    <row r="6" customFormat="false" ht="15" hidden="false" customHeight="true" outlineLevel="0" collapsed="false">
      <c r="A6" s="20"/>
      <c r="B6" s="25"/>
      <c r="C6" s="20"/>
      <c r="D6" s="20"/>
      <c r="E6" s="20"/>
    </row>
    <row r="7" customFormat="false" ht="15" hidden="false" customHeight="true" outlineLevel="0" collapsed="false">
      <c r="A7" s="20"/>
      <c r="B7" s="25"/>
      <c r="C7" s="20"/>
      <c r="D7" s="20"/>
      <c r="E7" s="20"/>
    </row>
    <row r="8" customFormat="false" ht="15" hidden="false" customHeight="true" outlineLevel="0" collapsed="false">
      <c r="A8" s="20"/>
      <c r="B8" s="25"/>
      <c r="C8" s="20"/>
      <c r="D8" s="20"/>
      <c r="E8" s="20"/>
    </row>
    <row r="9" customFormat="false" ht="15" hidden="false" customHeight="true" outlineLevel="0" collapsed="false">
      <c r="A9" s="20"/>
      <c r="B9" s="25"/>
      <c r="C9" s="20"/>
      <c r="D9" s="20"/>
      <c r="E9" s="20"/>
    </row>
    <row r="10" customFormat="false" ht="15" hidden="false" customHeight="true" outlineLevel="0" collapsed="false">
      <c r="A10" s="20"/>
      <c r="B10" s="25"/>
      <c r="C10" s="20"/>
      <c r="D10" s="20"/>
      <c r="E10" s="20"/>
    </row>
    <row r="11" customFormat="false" ht="15" hidden="false" customHeight="true" outlineLevel="0" collapsed="false">
      <c r="A11" s="20"/>
      <c r="B11" s="25"/>
      <c r="C11" s="20"/>
      <c r="D11" s="20"/>
      <c r="E11" s="20"/>
    </row>
    <row r="13" customFormat="false" ht="15" hidden="false" customHeight="true" outlineLevel="0" collapsed="false">
      <c r="A13" s="26" t="s">
        <v>403</v>
      </c>
      <c r="B13" s="26"/>
      <c r="C13" s="26"/>
      <c r="D13" s="26"/>
      <c r="E13" s="26"/>
    </row>
    <row r="14" customFormat="false" ht="26.25" hidden="false" customHeight="true" outlineLevel="0" collapsed="false">
      <c r="A14" s="28" t="s">
        <v>404</v>
      </c>
      <c r="B14" s="28"/>
      <c r="C14" s="28"/>
      <c r="D14" s="28"/>
      <c r="E14" s="28"/>
    </row>
    <row r="15" customFormat="false" ht="32.25" hidden="false" customHeight="true" outlineLevel="0" collapsed="false">
      <c r="A15" s="23" t="s">
        <v>405</v>
      </c>
      <c r="B15" s="23" t="s">
        <v>406</v>
      </c>
      <c r="C15" s="23" t="s">
        <v>407</v>
      </c>
      <c r="D15" s="23" t="s">
        <v>408</v>
      </c>
      <c r="E15" s="23" t="s">
        <v>409</v>
      </c>
    </row>
    <row r="16" customFormat="false" ht="15" hidden="false" customHeight="true" outlineLevel="0" collapsed="false">
      <c r="A16" s="20"/>
      <c r="B16" s="25"/>
      <c r="C16" s="20"/>
      <c r="D16" s="25"/>
      <c r="E16" s="20"/>
    </row>
    <row r="17" customFormat="false" ht="15" hidden="false" customHeight="true" outlineLevel="0" collapsed="false">
      <c r="A17" s="20"/>
      <c r="B17" s="25"/>
      <c r="C17" s="20"/>
      <c r="D17" s="25"/>
      <c r="E17" s="20"/>
    </row>
    <row r="18" customFormat="false" ht="15" hidden="false" customHeight="true" outlineLevel="0" collapsed="false">
      <c r="A18" s="20"/>
      <c r="B18" s="25"/>
      <c r="C18" s="20"/>
      <c r="D18" s="25"/>
      <c r="E18" s="20"/>
    </row>
    <row r="19" customFormat="false" ht="15" hidden="false" customHeight="true" outlineLevel="0" collapsed="false">
      <c r="A19" s="20"/>
      <c r="B19" s="25"/>
      <c r="C19" s="20"/>
      <c r="D19" s="25"/>
      <c r="E19" s="20"/>
    </row>
    <row r="20" customFormat="false" ht="15" hidden="false" customHeight="true" outlineLevel="0" collapsed="false">
      <c r="A20" s="20"/>
      <c r="B20" s="25"/>
      <c r="C20" s="20"/>
      <c r="D20" s="25"/>
      <c r="E20" s="20"/>
    </row>
    <row r="21" customFormat="false" ht="15" hidden="false" customHeight="true" outlineLevel="0" collapsed="false">
      <c r="A21" s="20"/>
      <c r="B21" s="25"/>
      <c r="C21" s="20"/>
      <c r="D21" s="25"/>
      <c r="E21" s="20"/>
    </row>
  </sheetData>
  <mergeCells count="5">
    <mergeCell ref="A1:E1"/>
    <mergeCell ref="A2:E2"/>
    <mergeCell ref="A4:E4"/>
    <mergeCell ref="A13:E13"/>
    <mergeCell ref="A14:E14"/>
  </mergeCells>
  <dataValidations count="3">
    <dataValidation allowBlank="true" errorStyle="stop" operator="between" showDropDown="false" showErrorMessage="false" showInputMessage="false" sqref="B6:B11" type="list">
      <formula1>"リーン生産方式（バリューストリームマップ）,レトロスペクティブ,その他"</formula1>
      <formula2>0</formula2>
    </dataValidation>
    <dataValidation allowBlank="true" errorStyle="stop" operator="between" showDropDown="false" showErrorMessage="false" showInputMessage="false" sqref="B16:B21" type="list">
      <formula1>"情報提供依頼書(RFI),提案依頼書(RFP),見積依頼書(RFQ),入札招請書(IFB)"</formula1>
      <formula2>0</formula2>
    </dataValidation>
    <dataValidation allowBlank="true" errorStyle="stop" operator="between" showDropDown="false" showErrorMessage="false" showInputMessage="false" sqref="D16:D21" type="list">
      <formula1>"①作業範囲記述書作成,②評価方法決定,③入札文書作成,④入札説明会,⑤評価,⑥交渉,⑦契約締結"</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2" min="2" style="1" width="34"/>
    <col collapsed="false" customWidth="true" hidden="false" outlineLevel="0" max="3" min="3" style="1" width="16"/>
    <col collapsed="false" customWidth="true" hidden="false" outlineLevel="0" max="4" min="4" style="1" width="26"/>
  </cols>
  <sheetData>
    <row r="1" customFormat="false" ht="23.25" hidden="false" customHeight="true" outlineLevel="0" collapsed="false">
      <c r="A1" s="2" t="s">
        <v>410</v>
      </c>
      <c r="B1" s="2"/>
      <c r="C1" s="2"/>
      <c r="D1" s="2"/>
    </row>
    <row r="2" customFormat="false" ht="26.25" hidden="false" customHeight="true" outlineLevel="0" collapsed="false">
      <c r="A2" s="28" t="s">
        <v>411</v>
      </c>
      <c r="B2" s="28"/>
      <c r="C2" s="28"/>
      <c r="D2" s="28"/>
    </row>
    <row r="4" customFormat="false" ht="16.5" hidden="false" customHeight="true" outlineLevel="0" collapsed="false">
      <c r="A4" s="23" t="s">
        <v>412</v>
      </c>
      <c r="B4" s="23" t="s">
        <v>413</v>
      </c>
      <c r="C4" s="23" t="s">
        <v>387</v>
      </c>
      <c r="D4" s="23" t="s">
        <v>69</v>
      </c>
    </row>
    <row r="5" customFormat="false" ht="30" hidden="false" customHeight="true" outlineLevel="0" collapsed="false">
      <c r="A5" s="42" t="s">
        <v>414</v>
      </c>
      <c r="B5" s="50" t="s">
        <v>415</v>
      </c>
      <c r="C5" s="25"/>
      <c r="D5" s="20"/>
    </row>
    <row r="6" customFormat="false" ht="30" hidden="false" customHeight="true" outlineLevel="0" collapsed="false">
      <c r="A6" s="42" t="s">
        <v>416</v>
      </c>
      <c r="B6" s="50" t="s">
        <v>417</v>
      </c>
      <c r="C6" s="25"/>
      <c r="D6" s="20"/>
    </row>
    <row r="7" customFormat="false" ht="30" hidden="false" customHeight="true" outlineLevel="0" collapsed="false">
      <c r="A7" s="42" t="s">
        <v>418</v>
      </c>
      <c r="B7" s="50" t="s">
        <v>419</v>
      </c>
      <c r="C7" s="25"/>
      <c r="D7" s="20"/>
    </row>
    <row r="8" customFormat="false" ht="30" hidden="false" customHeight="true" outlineLevel="0" collapsed="false">
      <c r="A8" s="42" t="s">
        <v>420</v>
      </c>
      <c r="B8" s="50" t="s">
        <v>421</v>
      </c>
      <c r="C8" s="25"/>
      <c r="D8" s="20"/>
    </row>
    <row r="10" customFormat="false" ht="15" hidden="false" customHeight="true" outlineLevel="0" collapsed="false">
      <c r="A10" s="39" t="s">
        <v>422</v>
      </c>
      <c r="B10" s="39"/>
      <c r="C10" s="41" t="n">
        <f aca="false">IFERROR(SUM(C5:C6),0)</f>
        <v>0</v>
      </c>
    </row>
    <row r="11" customFormat="false" ht="15" hidden="false" customHeight="true" outlineLevel="0" collapsed="false">
      <c r="A11" s="39" t="s">
        <v>423</v>
      </c>
      <c r="B11" s="39"/>
      <c r="C11" s="41" t="n">
        <f aca="false">IFERROR(SUM(C7:C8),0)</f>
        <v>0</v>
      </c>
    </row>
    <row r="12" customFormat="false" ht="15" hidden="false" customHeight="true" outlineLevel="0" collapsed="false">
      <c r="A12" s="39" t="s">
        <v>424</v>
      </c>
      <c r="B12" s="39"/>
      <c r="C12" s="41" t="n">
        <f aca="false">IFERROR(C10+C11,0)</f>
        <v>0</v>
      </c>
    </row>
    <row r="13" customFormat="false" ht="39" hidden="false" customHeight="true" outlineLevel="0" collapsed="false">
      <c r="A13" s="39" t="s">
        <v>425</v>
      </c>
      <c r="B13" s="39"/>
      <c r="C13" s="57" t="n">
        <f aca="false">IFERROR(C12/C12,0)</f>
        <v>0</v>
      </c>
      <c r="D13" s="22" t="s">
        <v>426</v>
      </c>
    </row>
  </sheetData>
  <mergeCells count="6">
    <mergeCell ref="A1:D1"/>
    <mergeCell ref="A2:D2"/>
    <mergeCell ref="A10:B10"/>
    <mergeCell ref="A11:B11"/>
    <mergeCell ref="A12:B12"/>
    <mergeCell ref="A13:B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0"/>
    <col collapsed="false" customWidth="true" hidden="false" outlineLevel="0" max="2" min="2" style="1" width="30"/>
    <col collapsed="false" customWidth="true" hidden="false" outlineLevel="0" max="4" min="3" style="1" width="16"/>
    <col collapsed="false" customWidth="true" hidden="false" outlineLevel="0" max="5" min="5" style="1" width="26"/>
  </cols>
  <sheetData>
    <row r="1" customFormat="false" ht="23.25" hidden="false" customHeight="true" outlineLevel="0" collapsed="false">
      <c r="A1" s="2" t="s">
        <v>427</v>
      </c>
      <c r="B1" s="2"/>
      <c r="C1" s="2"/>
      <c r="D1" s="2"/>
      <c r="E1" s="2"/>
    </row>
    <row r="2" customFormat="false" ht="26.25" hidden="false" customHeight="true" outlineLevel="0" collapsed="false">
      <c r="A2" s="28" t="s">
        <v>428</v>
      </c>
      <c r="B2" s="28"/>
      <c r="C2" s="28"/>
      <c r="D2" s="28"/>
      <c r="E2" s="28"/>
    </row>
    <row r="4" customFormat="false" ht="15" hidden="false" customHeight="true" outlineLevel="0" collapsed="false">
      <c r="A4" s="21" t="s">
        <v>429</v>
      </c>
      <c r="B4" s="21"/>
      <c r="C4" s="21"/>
      <c r="D4" s="21"/>
      <c r="E4" s="21"/>
    </row>
    <row r="5" customFormat="false" ht="16.5" hidden="false" customHeight="true" outlineLevel="0" collapsed="false">
      <c r="A5" s="49" t="s">
        <v>430</v>
      </c>
      <c r="B5" s="23" t="s">
        <v>431</v>
      </c>
      <c r="C5" s="23" t="s">
        <v>432</v>
      </c>
      <c r="D5" s="23" t="s">
        <v>433</v>
      </c>
      <c r="E5" s="49" t="s">
        <v>434</v>
      </c>
    </row>
    <row r="6" customFormat="false" ht="15" hidden="false" customHeight="true" outlineLevel="0" collapsed="false">
      <c r="A6" s="20"/>
      <c r="B6" s="25"/>
      <c r="C6" s="25"/>
      <c r="D6" s="25"/>
      <c r="E6" s="25"/>
    </row>
    <row r="7" customFormat="false" ht="15" hidden="false" customHeight="true" outlineLevel="0" collapsed="false">
      <c r="A7" s="20"/>
      <c r="B7" s="25"/>
      <c r="C7" s="25"/>
      <c r="D7" s="25"/>
      <c r="E7" s="25"/>
    </row>
    <row r="8" customFormat="false" ht="15" hidden="false" customHeight="true" outlineLevel="0" collapsed="false">
      <c r="A8" s="20"/>
      <c r="B8" s="25"/>
      <c r="C8" s="25"/>
      <c r="D8" s="25"/>
      <c r="E8" s="25"/>
    </row>
    <row r="9" customFormat="false" ht="15" hidden="false" customHeight="true" outlineLevel="0" collapsed="false">
      <c r="A9" s="20"/>
      <c r="B9" s="25"/>
      <c r="C9" s="25"/>
      <c r="D9" s="25"/>
      <c r="E9" s="25"/>
    </row>
    <row r="10" customFormat="false" ht="15" hidden="false" customHeight="true" outlineLevel="0" collapsed="false">
      <c r="A10" s="20"/>
      <c r="B10" s="25"/>
      <c r="C10" s="25"/>
      <c r="D10" s="25"/>
      <c r="E10" s="25"/>
    </row>
    <row r="11" customFormat="false" ht="15" hidden="false" customHeight="true" outlineLevel="0" collapsed="false">
      <c r="A11" s="20"/>
      <c r="B11" s="25"/>
      <c r="C11" s="25"/>
      <c r="D11" s="25"/>
      <c r="E11" s="25"/>
    </row>
    <row r="13" customFormat="false" ht="15" hidden="false" customHeight="true" outlineLevel="0" collapsed="false">
      <c r="A13" s="21" t="s">
        <v>435</v>
      </c>
      <c r="B13" s="21"/>
      <c r="C13" s="21"/>
      <c r="D13" s="21"/>
      <c r="E13" s="21"/>
    </row>
    <row r="14" customFormat="false" ht="15" hidden="false" customHeight="true" outlineLevel="0" collapsed="false">
      <c r="A14" s="58" t="s">
        <v>436</v>
      </c>
      <c r="B14" s="50" t="s">
        <v>437</v>
      </c>
      <c r="C14" s="50"/>
      <c r="D14" s="50"/>
      <c r="E14" s="50"/>
    </row>
    <row r="15" customFormat="false" ht="15" hidden="false" customHeight="true" outlineLevel="0" collapsed="false">
      <c r="A15" s="58" t="s">
        <v>438</v>
      </c>
      <c r="B15" s="50" t="s">
        <v>439</v>
      </c>
      <c r="C15" s="50"/>
      <c r="D15" s="50"/>
      <c r="E15" s="50"/>
    </row>
    <row r="16" customFormat="false" ht="15" hidden="false" customHeight="true" outlineLevel="0" collapsed="false">
      <c r="A16" s="58" t="s">
        <v>440</v>
      </c>
      <c r="B16" s="50" t="s">
        <v>441</v>
      </c>
      <c r="C16" s="50"/>
      <c r="D16" s="50"/>
      <c r="E16" s="50"/>
    </row>
    <row r="17" customFormat="false" ht="15" hidden="false" customHeight="true" outlineLevel="0" collapsed="false">
      <c r="A17" s="58" t="s">
        <v>442</v>
      </c>
      <c r="B17" s="50" t="s">
        <v>443</v>
      </c>
      <c r="C17" s="50"/>
      <c r="D17" s="50"/>
      <c r="E17" s="50"/>
    </row>
    <row r="18" customFormat="false" ht="15" hidden="false" customHeight="true" outlineLevel="0" collapsed="false">
      <c r="A18" s="58" t="s">
        <v>444</v>
      </c>
      <c r="B18" s="50" t="s">
        <v>445</v>
      </c>
      <c r="C18" s="50"/>
      <c r="D18" s="50"/>
      <c r="E18" s="50"/>
    </row>
    <row r="20" customFormat="false" ht="15" hidden="false" customHeight="true" outlineLevel="0" collapsed="false">
      <c r="A20" s="26" t="s">
        <v>446</v>
      </c>
      <c r="B20" s="26"/>
      <c r="C20" s="26"/>
      <c r="D20" s="26"/>
      <c r="E20" s="26"/>
    </row>
    <row r="21" customFormat="false" ht="16.5" hidden="false" customHeight="true" outlineLevel="0" collapsed="false">
      <c r="A21" s="23" t="s">
        <v>386</v>
      </c>
      <c r="B21" s="23" t="s">
        <v>447</v>
      </c>
      <c r="C21" s="23" t="s">
        <v>448</v>
      </c>
      <c r="D21" s="23"/>
      <c r="E21" s="23" t="s">
        <v>449</v>
      </c>
    </row>
    <row r="22" customFormat="false" ht="15" hidden="false" customHeight="true" outlineLevel="0" collapsed="false">
      <c r="A22" s="18" t="s">
        <v>450</v>
      </c>
      <c r="B22" s="25"/>
      <c r="C22" s="22"/>
    </row>
    <row r="23" customFormat="false" ht="15" hidden="false" customHeight="true" outlineLevel="0" collapsed="false">
      <c r="A23" s="18" t="s">
        <v>451</v>
      </c>
      <c r="B23" s="25"/>
    </row>
    <row r="24" customFormat="false" ht="15" hidden="false" customHeight="true" outlineLevel="0" collapsed="false">
      <c r="A24" s="58" t="s">
        <v>452</v>
      </c>
      <c r="B24" s="59" t="str">
        <f aca="false">IFERROR(B22/B23,"")</f>
        <v/>
      </c>
      <c r="C24" s="60" t="s">
        <v>453</v>
      </c>
      <c r="D24" s="60"/>
      <c r="E24" s="53" t="str">
        <f aca="false">IF(B24="","",IF(B24&gt;=1,"妥当（1以上）","要検討（1未満）"))</f>
        <v/>
      </c>
    </row>
    <row r="25" customFormat="false" ht="15" hidden="false" customHeight="true" outlineLevel="0" collapsed="false">
      <c r="A25" s="58" t="s">
        <v>454</v>
      </c>
      <c r="B25" s="61" t="str">
        <f aca="false">IFERROR((B22-B23)/B23,"")</f>
        <v/>
      </c>
      <c r="C25" s="60" t="s">
        <v>455</v>
      </c>
      <c r="D25" s="60"/>
      <c r="E25" s="53" t="str">
        <f aca="false">IF(B25="","",IF(B25&gt;0,"投資効率プラス","投資効率マイナス"))</f>
        <v/>
      </c>
    </row>
    <row r="27" customFormat="false" ht="15" hidden="false" customHeight="true" outlineLevel="0" collapsed="false">
      <c r="A27" s="21" t="s">
        <v>456</v>
      </c>
      <c r="B27" s="21"/>
      <c r="C27" s="21"/>
      <c r="D27" s="21"/>
      <c r="E27" s="21"/>
    </row>
    <row r="28" customFormat="false" ht="16.5" hidden="false" customHeight="true" outlineLevel="0" collapsed="false">
      <c r="A28" s="23" t="s">
        <v>386</v>
      </c>
      <c r="B28" s="23" t="s">
        <v>447</v>
      </c>
      <c r="C28" s="23" t="s">
        <v>448</v>
      </c>
      <c r="D28" s="23"/>
      <c r="E28" s="23"/>
    </row>
    <row r="29" customFormat="false" ht="15" hidden="false" customHeight="true" outlineLevel="0" collapsed="false">
      <c r="A29" s="18" t="s">
        <v>457</v>
      </c>
      <c r="B29" s="25"/>
    </row>
    <row r="30" customFormat="false" ht="15" hidden="false" customHeight="true" outlineLevel="0" collapsed="false">
      <c r="A30" s="18" t="s">
        <v>458</v>
      </c>
      <c r="B30" s="25"/>
    </row>
    <row r="31" customFormat="false" ht="15" hidden="false" customHeight="true" outlineLevel="0" collapsed="false">
      <c r="A31" s="18" t="s">
        <v>459</v>
      </c>
      <c r="B31" s="62"/>
    </row>
    <row r="32" customFormat="false" ht="15" hidden="false" customHeight="true" outlineLevel="0" collapsed="false">
      <c r="A32" s="18" t="s">
        <v>460</v>
      </c>
      <c r="B32" s="25"/>
    </row>
    <row r="33" customFormat="false" ht="15" hidden="false" customHeight="true" outlineLevel="0" collapsed="false">
      <c r="A33" s="18" t="s">
        <v>461</v>
      </c>
      <c r="B33" s="63" t="n">
        <f aca="false">IFERROR(B29/(1+B31)^B30,"")</f>
        <v>0</v>
      </c>
      <c r="C33" s="60" t="s">
        <v>462</v>
      </c>
      <c r="D33" s="60"/>
      <c r="E33" s="60"/>
    </row>
    <row r="34" customFormat="false" ht="15" hidden="false" customHeight="true" outlineLevel="0" collapsed="false">
      <c r="A34" s="58" t="s">
        <v>463</v>
      </c>
      <c r="B34" s="64" t="n">
        <f aca="false">IFERROR(B33-B32,"")</f>
        <v>0</v>
      </c>
      <c r="C34" s="60" t="s">
        <v>464</v>
      </c>
      <c r="D34" s="60"/>
      <c r="E34" s="60"/>
    </row>
  </sheetData>
  <mergeCells count="15">
    <mergeCell ref="A1:E1"/>
    <mergeCell ref="A2:E2"/>
    <mergeCell ref="A4:E4"/>
    <mergeCell ref="A13:E13"/>
    <mergeCell ref="B14:E14"/>
    <mergeCell ref="B15:E15"/>
    <mergeCell ref="B16:E16"/>
    <mergeCell ref="B17:E17"/>
    <mergeCell ref="B18:E18"/>
    <mergeCell ref="A20:E20"/>
    <mergeCell ref="C24:D24"/>
    <mergeCell ref="C25:D25"/>
    <mergeCell ref="A27:E27"/>
    <mergeCell ref="C33:E33"/>
    <mergeCell ref="C34:E34"/>
  </mergeCells>
  <dataValidations count="2">
    <dataValidation allowBlank="true" errorStyle="stop" operator="between" showDropDown="false" showErrorMessage="false" showInputMessage="false" sqref="B6:B11" type="list">
      <formula1>"先行指標,遅行指標"</formula1>
      <formula2>0</formula2>
    </dataValidation>
    <dataValidation allowBlank="true" errorStyle="stop" operator="between" showDropDown="false" showErrorMessage="false" showInputMessage="false" sqref="E6:E11" type="list">
      <formula1>"満たす,一部満たす,満たさない"</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2" min="2" style="1" width="34"/>
    <col collapsed="false" customWidth="true" hidden="false" outlineLevel="0" max="3" min="3" style="1" width="22"/>
    <col collapsed="false" customWidth="true" hidden="false" outlineLevel="0" max="4" min="4" style="1" width="24"/>
  </cols>
  <sheetData>
    <row r="1" customFormat="false" ht="19.5" hidden="false" customHeight="true" outlineLevel="0" collapsed="false">
      <c r="A1" s="2" t="s">
        <v>465</v>
      </c>
      <c r="B1" s="2"/>
      <c r="C1" s="2"/>
      <c r="D1" s="2"/>
    </row>
    <row r="2" customFormat="false" ht="26.25" hidden="false" customHeight="true" outlineLevel="0" collapsed="false">
      <c r="A2" s="28" t="s">
        <v>466</v>
      </c>
      <c r="B2" s="28"/>
      <c r="C2" s="28"/>
      <c r="D2" s="28"/>
    </row>
    <row r="4" customFormat="false" ht="16.5" hidden="false" customHeight="true" outlineLevel="0" collapsed="false">
      <c r="A4" s="23" t="s">
        <v>277</v>
      </c>
      <c r="B4" s="23" t="s">
        <v>467</v>
      </c>
      <c r="C4" s="23" t="s">
        <v>468</v>
      </c>
      <c r="D4" s="23" t="s">
        <v>469</v>
      </c>
    </row>
    <row r="5" customFormat="false" ht="31.5" hidden="false" customHeight="true" outlineLevel="0" collapsed="false">
      <c r="A5" s="42" t="s">
        <v>470</v>
      </c>
      <c r="B5" s="20"/>
      <c r="C5" s="20"/>
      <c r="D5" s="20"/>
    </row>
    <row r="6" customFormat="false" ht="31.5" hidden="false" customHeight="true" outlineLevel="0" collapsed="false">
      <c r="A6" s="42" t="s">
        <v>471</v>
      </c>
      <c r="B6" s="20"/>
      <c r="C6" s="20"/>
      <c r="D6" s="20"/>
    </row>
    <row r="7" customFormat="false" ht="31.5" hidden="false" customHeight="true" outlineLevel="0" collapsed="false">
      <c r="A7" s="42" t="s">
        <v>472</v>
      </c>
      <c r="B7" s="20"/>
      <c r="C7" s="20"/>
      <c r="D7" s="20"/>
    </row>
    <row r="8" customFormat="false" ht="31.5" hidden="false" customHeight="true" outlineLevel="0" collapsed="false">
      <c r="A8" s="42" t="s">
        <v>473</v>
      </c>
      <c r="B8" s="20"/>
      <c r="C8" s="20"/>
      <c r="D8" s="20"/>
    </row>
    <row r="9" customFormat="false" ht="31.5" hidden="false" customHeight="true" outlineLevel="0" collapsed="false">
      <c r="A9" s="42" t="s">
        <v>474</v>
      </c>
      <c r="B9" s="20"/>
      <c r="C9" s="20"/>
      <c r="D9" s="20"/>
    </row>
    <row r="10" customFormat="false" ht="31.5" hidden="false" customHeight="true" outlineLevel="0" collapsed="false">
      <c r="A10" s="42" t="s">
        <v>475</v>
      </c>
      <c r="B10" s="20"/>
      <c r="C10" s="20"/>
      <c r="D10" s="20"/>
    </row>
    <row r="12" customFormat="false" ht="79.5" hidden="false" customHeight="true" outlineLevel="0" collapsed="false">
      <c r="A12" s="28" t="s">
        <v>476</v>
      </c>
      <c r="B12" s="28"/>
      <c r="C12" s="28"/>
      <c r="D12" s="28"/>
    </row>
  </sheetData>
  <mergeCells count="3">
    <mergeCell ref="A1:D1"/>
    <mergeCell ref="A2:D2"/>
    <mergeCell ref="A12:D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0"/>
    <col collapsed="false" customWidth="true" hidden="false" outlineLevel="0" max="2" min="2" style="1" width="30"/>
    <col collapsed="false" customWidth="true" hidden="false" outlineLevel="0" max="3" min="3" style="1" width="16"/>
    <col collapsed="false" customWidth="true" hidden="false" outlineLevel="0" max="4" min="4" style="1" width="30"/>
  </cols>
  <sheetData>
    <row r="1" customFormat="false" ht="19.5" hidden="false" customHeight="true" outlineLevel="0" collapsed="false">
      <c r="A1" s="2" t="s">
        <v>477</v>
      </c>
      <c r="B1" s="2"/>
      <c r="C1" s="2"/>
      <c r="D1" s="2"/>
    </row>
    <row r="2" customFormat="false" ht="26.25" hidden="false" customHeight="true" outlineLevel="0" collapsed="false">
      <c r="A2" s="28" t="s">
        <v>478</v>
      </c>
      <c r="B2" s="28"/>
      <c r="C2" s="28"/>
      <c r="D2" s="28"/>
    </row>
    <row r="4" customFormat="false" ht="15" hidden="false" customHeight="true" outlineLevel="0" collapsed="false">
      <c r="A4" s="26" t="s">
        <v>479</v>
      </c>
      <c r="B4" s="26"/>
      <c r="C4" s="26"/>
      <c r="D4" s="26"/>
    </row>
    <row r="5" customFormat="false" ht="16.5" hidden="false" customHeight="true" outlineLevel="0" collapsed="false">
      <c r="A5" s="23" t="s">
        <v>480</v>
      </c>
      <c r="B5" s="23" t="s">
        <v>481</v>
      </c>
      <c r="C5" s="23" t="s">
        <v>482</v>
      </c>
      <c r="D5" s="23" t="s">
        <v>483</v>
      </c>
    </row>
    <row r="6" customFormat="false" ht="33.75" hidden="false" customHeight="true" outlineLevel="0" collapsed="false">
      <c r="A6" s="42" t="s">
        <v>113</v>
      </c>
      <c r="B6" s="50" t="s">
        <v>484</v>
      </c>
      <c r="C6" s="25"/>
      <c r="D6" s="20"/>
    </row>
    <row r="7" customFormat="false" ht="33.75" hidden="false" customHeight="true" outlineLevel="0" collapsed="false">
      <c r="A7" s="42" t="s">
        <v>485</v>
      </c>
      <c r="B7" s="50" t="s">
        <v>486</v>
      </c>
      <c r="C7" s="25"/>
      <c r="D7" s="20"/>
    </row>
    <row r="8" customFormat="false" ht="33.75" hidden="false" customHeight="true" outlineLevel="0" collapsed="false">
      <c r="A8" s="42" t="s">
        <v>487</v>
      </c>
      <c r="B8" s="50" t="s">
        <v>488</v>
      </c>
      <c r="C8" s="25"/>
      <c r="D8" s="20"/>
    </row>
    <row r="9" customFormat="false" ht="33.75" hidden="false" customHeight="true" outlineLevel="0" collapsed="false">
      <c r="A9" s="42" t="s">
        <v>489</v>
      </c>
      <c r="B9" s="50" t="s">
        <v>490</v>
      </c>
      <c r="C9" s="25"/>
      <c r="D9" s="20"/>
    </row>
    <row r="11" customFormat="false" ht="15" hidden="false" customHeight="true" outlineLevel="0" collapsed="false">
      <c r="A11" s="26" t="s">
        <v>491</v>
      </c>
      <c r="B11" s="26"/>
      <c r="C11" s="26"/>
      <c r="D11" s="26"/>
    </row>
    <row r="12" customFormat="false" ht="26.25" hidden="false" customHeight="true" outlineLevel="0" collapsed="false">
      <c r="A12" s="30" t="s">
        <v>492</v>
      </c>
      <c r="B12" s="30"/>
      <c r="C12" s="30"/>
      <c r="D12" s="30"/>
    </row>
    <row r="13" customFormat="false" ht="32.25" hidden="false" customHeight="true" outlineLevel="0" collapsed="false">
      <c r="A13" s="23" t="s">
        <v>493</v>
      </c>
      <c r="B13" s="23" t="s">
        <v>494</v>
      </c>
      <c r="C13" s="23" t="s">
        <v>495</v>
      </c>
      <c r="D13" s="23" t="s">
        <v>496</v>
      </c>
    </row>
    <row r="14" customFormat="false" ht="27.75" hidden="false" customHeight="true" outlineLevel="0" collapsed="false">
      <c r="A14" s="42" t="s">
        <v>497</v>
      </c>
      <c r="B14" s="31" t="s">
        <v>498</v>
      </c>
      <c r="C14" s="50" t="s">
        <v>499</v>
      </c>
      <c r="D14" s="20"/>
    </row>
    <row r="15" customFormat="false" ht="27.75" hidden="false" customHeight="true" outlineLevel="0" collapsed="false">
      <c r="A15" s="42"/>
      <c r="B15" s="31" t="s">
        <v>500</v>
      </c>
      <c r="C15" s="50" t="s">
        <v>501</v>
      </c>
      <c r="D15" s="20"/>
    </row>
    <row r="16" customFormat="false" ht="27.75" hidden="false" customHeight="true" outlineLevel="0" collapsed="false">
      <c r="A16" s="42"/>
      <c r="B16" s="31" t="s">
        <v>502</v>
      </c>
      <c r="C16" s="50" t="s">
        <v>503</v>
      </c>
      <c r="D16" s="20"/>
    </row>
    <row r="17" customFormat="false" ht="27.75" hidden="false" customHeight="true" outlineLevel="0" collapsed="false">
      <c r="A17" s="42"/>
      <c r="B17" s="31" t="s">
        <v>504</v>
      </c>
      <c r="C17" s="50" t="s">
        <v>505</v>
      </c>
      <c r="D17" s="20"/>
    </row>
    <row r="18" customFormat="false" ht="27.75" hidden="false" customHeight="true" outlineLevel="0" collapsed="false">
      <c r="A18" s="42"/>
      <c r="B18" s="31" t="s">
        <v>506</v>
      </c>
      <c r="C18" s="50" t="s">
        <v>507</v>
      </c>
      <c r="D18" s="20"/>
    </row>
    <row r="19" customFormat="false" ht="27.75" hidden="false" customHeight="true" outlineLevel="0" collapsed="false">
      <c r="A19" s="42"/>
      <c r="B19" s="31" t="s">
        <v>508</v>
      </c>
      <c r="C19" s="50" t="s">
        <v>509</v>
      </c>
      <c r="D19" s="20"/>
    </row>
    <row r="20" customFormat="false" ht="27.75" hidden="false" customHeight="true" outlineLevel="0" collapsed="false">
      <c r="A20" s="42"/>
      <c r="B20" s="31" t="s">
        <v>510</v>
      </c>
      <c r="C20" s="50" t="s">
        <v>511</v>
      </c>
      <c r="D20" s="20"/>
    </row>
    <row r="21" customFormat="false" ht="27.75" hidden="false" customHeight="true" outlineLevel="0" collapsed="false">
      <c r="A21" s="42"/>
      <c r="B21" s="31" t="s">
        <v>512</v>
      </c>
      <c r="C21" s="50" t="s">
        <v>513</v>
      </c>
      <c r="D21" s="20"/>
    </row>
    <row r="22" customFormat="false" ht="27.75" hidden="false" customHeight="true" outlineLevel="0" collapsed="false">
      <c r="A22" s="42" t="s">
        <v>242</v>
      </c>
      <c r="B22" s="31" t="s">
        <v>514</v>
      </c>
      <c r="C22" s="50" t="s">
        <v>515</v>
      </c>
      <c r="D22" s="20"/>
    </row>
    <row r="23" customFormat="false" ht="27.75" hidden="false" customHeight="true" outlineLevel="0" collapsed="false">
      <c r="A23" s="42"/>
      <c r="B23" s="31" t="s">
        <v>516</v>
      </c>
      <c r="C23" s="50" t="s">
        <v>517</v>
      </c>
      <c r="D23" s="20"/>
    </row>
    <row r="24" customFormat="false" ht="27.75" hidden="false" customHeight="true" outlineLevel="0" collapsed="false">
      <c r="A24" s="42"/>
      <c r="B24" s="31" t="s">
        <v>518</v>
      </c>
      <c r="C24" s="50" t="s">
        <v>519</v>
      </c>
      <c r="D24" s="20"/>
    </row>
    <row r="25" customFormat="false" ht="27.75" hidden="false" customHeight="true" outlineLevel="0" collapsed="false">
      <c r="A25" s="42"/>
      <c r="B25" s="31" t="s">
        <v>520</v>
      </c>
      <c r="C25" s="50" t="s">
        <v>521</v>
      </c>
      <c r="D25" s="20"/>
    </row>
    <row r="26" customFormat="false" ht="27.75" hidden="false" customHeight="true" outlineLevel="0" collapsed="false">
      <c r="A26" s="42"/>
      <c r="B26" s="31" t="s">
        <v>522</v>
      </c>
      <c r="C26" s="50" t="s">
        <v>523</v>
      </c>
      <c r="D26" s="20"/>
    </row>
    <row r="27" customFormat="false" ht="27.75" hidden="false" customHeight="true" outlineLevel="0" collapsed="false">
      <c r="A27" s="42" t="s">
        <v>369</v>
      </c>
      <c r="B27" s="31" t="s">
        <v>524</v>
      </c>
      <c r="C27" s="50" t="s">
        <v>525</v>
      </c>
      <c r="D27" s="20"/>
    </row>
    <row r="28" customFormat="false" ht="27.75" hidden="false" customHeight="true" outlineLevel="0" collapsed="false">
      <c r="A28" s="42"/>
      <c r="B28" s="31" t="s">
        <v>325</v>
      </c>
      <c r="C28" s="50" t="s">
        <v>526</v>
      </c>
      <c r="D28" s="20"/>
    </row>
    <row r="29" customFormat="false" ht="27.75" hidden="false" customHeight="true" outlineLevel="0" collapsed="false">
      <c r="A29" s="42"/>
      <c r="B29" s="31" t="s">
        <v>330</v>
      </c>
      <c r="C29" s="50" t="s">
        <v>527</v>
      </c>
      <c r="D29" s="20"/>
    </row>
    <row r="30" customFormat="false" ht="27.75" hidden="false" customHeight="true" outlineLevel="0" collapsed="false">
      <c r="A30" s="42"/>
      <c r="B30" s="31" t="s">
        <v>528</v>
      </c>
      <c r="C30" s="50" t="s">
        <v>529</v>
      </c>
      <c r="D30" s="20"/>
    </row>
    <row r="32" customFormat="false" ht="15" hidden="false" customHeight="true" outlineLevel="0" collapsed="false">
      <c r="A32" s="26" t="s">
        <v>530</v>
      </c>
      <c r="B32" s="26"/>
      <c r="C32" s="26"/>
      <c r="D32" s="26"/>
    </row>
    <row r="33" customFormat="false" ht="15" hidden="false" customHeight="true" outlineLevel="0" collapsed="false">
      <c r="A33" s="28" t="s">
        <v>531</v>
      </c>
      <c r="B33" s="28"/>
      <c r="C33" s="28"/>
      <c r="D33" s="28"/>
    </row>
    <row r="34" customFormat="false" ht="32.25" hidden="false" customHeight="true" outlineLevel="0" collapsed="false">
      <c r="A34" s="23" t="s">
        <v>399</v>
      </c>
      <c r="B34" s="23" t="s">
        <v>532</v>
      </c>
      <c r="C34" s="23" t="s">
        <v>533</v>
      </c>
      <c r="D34" s="23" t="s">
        <v>534</v>
      </c>
    </row>
    <row r="35" customFormat="false" ht="15" hidden="false" customHeight="true" outlineLevel="0" collapsed="false">
      <c r="A35" s="20"/>
      <c r="B35" s="25"/>
      <c r="C35" s="20"/>
      <c r="D35" s="20"/>
    </row>
    <row r="36" customFormat="false" ht="15" hidden="false" customHeight="true" outlineLevel="0" collapsed="false">
      <c r="A36" s="20"/>
      <c r="B36" s="25"/>
      <c r="C36" s="20"/>
      <c r="D36" s="20"/>
    </row>
    <row r="37" customFormat="false" ht="15" hidden="false" customHeight="true" outlineLevel="0" collapsed="false">
      <c r="A37" s="20"/>
      <c r="B37" s="25"/>
      <c r="C37" s="20"/>
      <c r="D37" s="20"/>
    </row>
    <row r="38" customFormat="false" ht="15" hidden="false" customHeight="true" outlineLevel="0" collapsed="false">
      <c r="A38" s="20"/>
      <c r="B38" s="25"/>
      <c r="C38" s="20"/>
      <c r="D38" s="20"/>
    </row>
    <row r="39" customFormat="false" ht="15" hidden="false" customHeight="true" outlineLevel="0" collapsed="false">
      <c r="A39" s="20"/>
      <c r="B39" s="25"/>
      <c r="C39" s="20"/>
      <c r="D39" s="20"/>
    </row>
    <row r="40" customFormat="false" ht="15" hidden="false" customHeight="true" outlineLevel="0" collapsed="false">
      <c r="A40" s="20"/>
      <c r="B40" s="25"/>
      <c r="C40" s="20"/>
      <c r="D40" s="20"/>
    </row>
  </sheetData>
  <mergeCells count="10">
    <mergeCell ref="A1:D1"/>
    <mergeCell ref="A2:D2"/>
    <mergeCell ref="A4:D4"/>
    <mergeCell ref="A11:D11"/>
    <mergeCell ref="A12:D12"/>
    <mergeCell ref="A14:A21"/>
    <mergeCell ref="A22:A26"/>
    <mergeCell ref="A27:A30"/>
    <mergeCell ref="A32:D32"/>
    <mergeCell ref="A33:D33"/>
  </mergeCells>
  <dataValidations count="2">
    <dataValidation allowBlank="true" errorStyle="stop" operator="between" showDropDown="false" showErrorMessage="false" showInputMessage="false" sqref="C6:C9" type="list">
      <formula1>"未検討,検討中,決定済み"</formula1>
      <formula2>0</formula2>
    </dataValidation>
    <dataValidation allowBlank="true" errorStyle="stop" operator="between" showDropDown="false" showErrorMessage="false" showInputMessage="false" sqref="B35:B40" type="list">
      <formula1>"フェーズゲート,レトロスペクティブ,その他"</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0"/>
    <col collapsed="false" customWidth="true" hidden="false" outlineLevel="0" max="2" min="2" style="1" width="18"/>
    <col collapsed="false" customWidth="true" hidden="false" outlineLevel="0" max="3" min="3" style="1" width="22"/>
    <col collapsed="false" customWidth="true" hidden="false" outlineLevel="0" max="4" min="4" style="1" width="30"/>
  </cols>
  <sheetData>
    <row r="1" customFormat="false" ht="19.5" hidden="false" customHeight="true" outlineLevel="0" collapsed="false">
      <c r="A1" s="2" t="s">
        <v>535</v>
      </c>
      <c r="B1" s="2"/>
      <c r="C1" s="2"/>
      <c r="D1" s="2"/>
    </row>
    <row r="2" customFormat="false" ht="26.25" hidden="false" customHeight="true" outlineLevel="0" collapsed="false">
      <c r="A2" s="30" t="s">
        <v>536</v>
      </c>
      <c r="B2" s="30"/>
      <c r="C2" s="30"/>
      <c r="D2" s="30"/>
    </row>
    <row r="4" customFormat="false" ht="15" hidden="false" customHeight="true" outlineLevel="0" collapsed="false">
      <c r="A4" s="21" t="s">
        <v>537</v>
      </c>
      <c r="B4" s="21"/>
      <c r="C4" s="21"/>
      <c r="D4" s="21"/>
    </row>
    <row r="5" customFormat="false" ht="15" hidden="false" customHeight="true" outlineLevel="0" collapsed="false">
      <c r="A5" s="28" t="s">
        <v>538</v>
      </c>
      <c r="B5" s="28"/>
      <c r="C5" s="28"/>
      <c r="D5" s="28"/>
    </row>
    <row r="6" customFormat="false" ht="32.25" hidden="false" customHeight="true" outlineLevel="0" collapsed="false">
      <c r="A6" s="23" t="s">
        <v>539</v>
      </c>
      <c r="B6" s="23" t="s">
        <v>540</v>
      </c>
      <c r="C6" s="23" t="s">
        <v>541</v>
      </c>
      <c r="D6" s="23" t="s">
        <v>542</v>
      </c>
    </row>
    <row r="7" customFormat="false" ht="15" hidden="false" customHeight="true" outlineLevel="0" collapsed="false">
      <c r="A7" s="20"/>
      <c r="B7" s="25"/>
      <c r="C7" s="53" t="str">
        <f aca="false">IF(B7="","",IF(B7="低（習熟度1）","S1：指示型（Directing）",IF(B7="やや低（習熟度2）","S2：コーチ型（Coaching）",IF(B7="やや高（習熟度3）","S3：支援型（Supporting）",IF(B7="高（習熟度4）","S4：委任型（Delegating）","")))))</f>
        <v/>
      </c>
      <c r="D7" s="20"/>
    </row>
    <row r="8" customFormat="false" ht="15" hidden="false" customHeight="true" outlineLevel="0" collapsed="false">
      <c r="A8" s="20"/>
      <c r="B8" s="25"/>
      <c r="C8" s="53" t="str">
        <f aca="false">IF(B8="","",IF(B8="低（習熟度1）","S1：指示型（Directing）",IF(B8="やや低（習熟度2）","S2：コーチ型（Coaching）",IF(B8="やや高（習熟度3）","S3：支援型（Supporting）",IF(B8="高（習熟度4）","S4：委任型（Delegating）","")))))</f>
        <v/>
      </c>
      <c r="D8" s="20"/>
    </row>
    <row r="9" customFormat="false" ht="15" hidden="false" customHeight="true" outlineLevel="0" collapsed="false">
      <c r="A9" s="20"/>
      <c r="B9" s="25"/>
      <c r="C9" s="53" t="str">
        <f aca="false">IF(B9="","",IF(B9="低（習熟度1）","S1：指示型（Directing）",IF(B9="やや低（習熟度2）","S2：コーチ型（Coaching）",IF(B9="やや高（習熟度3）","S3：支援型（Supporting）",IF(B9="高（習熟度4）","S4：委任型（Delegating）","")))))</f>
        <v/>
      </c>
      <c r="D9" s="20"/>
    </row>
    <row r="10" customFormat="false" ht="15" hidden="false" customHeight="true" outlineLevel="0" collapsed="false">
      <c r="A10" s="20"/>
      <c r="B10" s="25"/>
      <c r="C10" s="53" t="str">
        <f aca="false">IF(B10="","",IF(B10="低（習熟度1）","S1：指示型（Directing）",IF(B10="やや低（習熟度2）","S2：コーチ型（Coaching）",IF(B10="やや高（習熟度3）","S3：支援型（Supporting）",IF(B10="高（習熟度4）","S4：委任型（Delegating）","")))))</f>
        <v/>
      </c>
      <c r="D10" s="20"/>
    </row>
    <row r="11" customFormat="false" ht="15" hidden="false" customHeight="true" outlineLevel="0" collapsed="false">
      <c r="A11" s="20"/>
      <c r="B11" s="25"/>
      <c r="C11" s="53" t="str">
        <f aca="false">IF(B11="","",IF(B11="低（習熟度1）","S1：指示型（Directing）",IF(B11="やや低（習熟度2）","S2：コーチ型（Coaching）",IF(B11="やや高（習熟度3）","S3：支援型（Supporting）",IF(B11="高（習熟度4）","S4：委任型（Delegating）","")))))</f>
        <v/>
      </c>
      <c r="D11" s="20"/>
    </row>
    <row r="12" customFormat="false" ht="15" hidden="false" customHeight="true" outlineLevel="0" collapsed="false">
      <c r="A12" s="20"/>
      <c r="B12" s="25"/>
      <c r="C12" s="53" t="str">
        <f aca="false">IF(B12="","",IF(B12="低（習熟度1）","S1：指示型（Directing）",IF(B12="やや低（習熟度2）","S2：コーチ型（Coaching）",IF(B12="やや高（習熟度3）","S3：支援型（Supporting）",IF(B12="高（習熟度4）","S4：委任型（Delegating）","")))))</f>
        <v/>
      </c>
      <c r="D12" s="20"/>
    </row>
    <row r="14" customFormat="false" ht="15" hidden="false" customHeight="true" outlineLevel="0" collapsed="false">
      <c r="A14" s="21" t="s">
        <v>543</v>
      </c>
      <c r="B14" s="21"/>
      <c r="C14" s="21"/>
      <c r="D14" s="21"/>
    </row>
    <row r="15" customFormat="false" ht="27.75" hidden="false" customHeight="true" outlineLevel="0" collapsed="false">
      <c r="A15" s="65" t="s">
        <v>544</v>
      </c>
      <c r="B15" s="50" t="s">
        <v>545</v>
      </c>
      <c r="C15" s="20"/>
      <c r="D15" s="20"/>
    </row>
    <row r="16" customFormat="false" ht="27.75" hidden="false" customHeight="true" outlineLevel="0" collapsed="false">
      <c r="A16" s="65" t="s">
        <v>546</v>
      </c>
      <c r="B16" s="50" t="s">
        <v>547</v>
      </c>
      <c r="C16" s="20"/>
      <c r="D16" s="20"/>
    </row>
    <row r="17" customFormat="false" ht="27.75" hidden="false" customHeight="true" outlineLevel="0" collapsed="false">
      <c r="A17" s="65" t="s">
        <v>548</v>
      </c>
      <c r="B17" s="50" t="s">
        <v>549</v>
      </c>
      <c r="C17" s="20"/>
      <c r="D17" s="20"/>
    </row>
    <row r="18" customFormat="false" ht="27.75" hidden="false" customHeight="true" outlineLevel="0" collapsed="false">
      <c r="A18" s="65" t="s">
        <v>550</v>
      </c>
      <c r="B18" s="50" t="s">
        <v>551</v>
      </c>
      <c r="C18" s="20"/>
      <c r="D18" s="20"/>
    </row>
    <row r="19" customFormat="false" ht="27.75" hidden="false" customHeight="true" outlineLevel="0" collapsed="false">
      <c r="A19" s="65" t="s">
        <v>552</v>
      </c>
      <c r="B19" s="50" t="s">
        <v>553</v>
      </c>
      <c r="C19" s="20"/>
      <c r="D19" s="20"/>
    </row>
    <row r="21" customFormat="false" ht="15" hidden="false" customHeight="true" outlineLevel="0" collapsed="false">
      <c r="A21" s="21" t="s">
        <v>554</v>
      </c>
      <c r="B21" s="21"/>
      <c r="C21" s="21"/>
      <c r="D21" s="21"/>
    </row>
    <row r="22" customFormat="false" ht="26.25" hidden="false" customHeight="true" outlineLevel="0" collapsed="false">
      <c r="A22" s="28" t="s">
        <v>555</v>
      </c>
      <c r="B22" s="28"/>
      <c r="C22" s="28"/>
      <c r="D22" s="28"/>
    </row>
    <row r="23" customFormat="false" ht="48" hidden="false" customHeight="true" outlineLevel="0" collapsed="false">
      <c r="A23" s="23" t="s">
        <v>556</v>
      </c>
      <c r="B23" s="49" t="s">
        <v>557</v>
      </c>
      <c r="C23" s="23" t="s">
        <v>274</v>
      </c>
      <c r="D23" s="23" t="s">
        <v>558</v>
      </c>
    </row>
    <row r="24" customFormat="false" ht="15" hidden="false" customHeight="true" outlineLevel="0" collapsed="false">
      <c r="A24" s="20"/>
      <c r="B24" s="25"/>
      <c r="C24" s="25"/>
      <c r="D24" s="20"/>
    </row>
    <row r="25" customFormat="false" ht="15" hidden="false" customHeight="true" outlineLevel="0" collapsed="false">
      <c r="A25" s="20"/>
      <c r="B25" s="25"/>
      <c r="C25" s="25"/>
      <c r="D25" s="20"/>
    </row>
    <row r="26" customFormat="false" ht="15" hidden="false" customHeight="true" outlineLevel="0" collapsed="false">
      <c r="A26" s="20"/>
      <c r="B26" s="25"/>
      <c r="C26" s="25"/>
      <c r="D26" s="20"/>
    </row>
    <row r="27" customFormat="false" ht="15" hidden="false" customHeight="true" outlineLevel="0" collapsed="false">
      <c r="A27" s="20"/>
      <c r="B27" s="25"/>
      <c r="C27" s="25"/>
      <c r="D27" s="20"/>
    </row>
    <row r="28" customFormat="false" ht="15" hidden="false" customHeight="true" outlineLevel="0" collapsed="false">
      <c r="A28" s="20"/>
      <c r="B28" s="25"/>
      <c r="C28" s="25"/>
      <c r="D28" s="20"/>
    </row>
    <row r="29" customFormat="false" ht="15" hidden="false" customHeight="true" outlineLevel="0" collapsed="false">
      <c r="A29" s="30" t="s">
        <v>559</v>
      </c>
      <c r="B29" s="30"/>
      <c r="C29" s="30"/>
      <c r="D29" s="30"/>
    </row>
    <row r="31" customFormat="false" ht="15" hidden="false" customHeight="true" outlineLevel="0" collapsed="false">
      <c r="A31" s="26" t="s">
        <v>560</v>
      </c>
      <c r="B31" s="26"/>
      <c r="C31" s="26"/>
      <c r="D31" s="26"/>
    </row>
    <row r="32" customFormat="false" ht="16.5" hidden="false" customHeight="true" outlineLevel="0" collapsed="false">
      <c r="A32" s="23" t="s">
        <v>561</v>
      </c>
      <c r="B32" s="23" t="s">
        <v>317</v>
      </c>
      <c r="C32" s="23" t="s">
        <v>121</v>
      </c>
      <c r="D32" s="23" t="s">
        <v>69</v>
      </c>
    </row>
    <row r="33" customFormat="false" ht="15" hidden="false" customHeight="true" outlineLevel="0" collapsed="false">
      <c r="A33" s="65" t="s">
        <v>562</v>
      </c>
      <c r="B33" s="20"/>
      <c r="C33" s="25"/>
      <c r="D33" s="20"/>
    </row>
    <row r="34" customFormat="false" ht="29.25" hidden="false" customHeight="true" outlineLevel="0" collapsed="false">
      <c r="A34" s="65" t="s">
        <v>563</v>
      </c>
      <c r="B34" s="20"/>
      <c r="C34" s="25"/>
      <c r="D34" s="20"/>
    </row>
    <row r="35" customFormat="false" ht="29.25" hidden="false" customHeight="true" outlineLevel="0" collapsed="false">
      <c r="A35" s="65" t="s">
        <v>564</v>
      </c>
      <c r="B35" s="20"/>
      <c r="C35" s="25"/>
      <c r="D35" s="20"/>
    </row>
    <row r="36" customFormat="false" ht="29.25" hidden="false" customHeight="true" outlineLevel="0" collapsed="false">
      <c r="A36" s="65" t="s">
        <v>565</v>
      </c>
      <c r="B36" s="20"/>
      <c r="C36" s="25"/>
      <c r="D36" s="20"/>
    </row>
    <row r="37" customFormat="false" ht="15" hidden="false" customHeight="true" outlineLevel="0" collapsed="false">
      <c r="A37" s="65" t="s">
        <v>566</v>
      </c>
      <c r="B37" s="20"/>
      <c r="C37" s="25"/>
      <c r="D37" s="20"/>
    </row>
    <row r="38" customFormat="false" ht="29.25" hidden="false" customHeight="true" outlineLevel="0" collapsed="false">
      <c r="A38" s="65" t="s">
        <v>567</v>
      </c>
      <c r="B38" s="20"/>
      <c r="C38" s="25"/>
      <c r="D38" s="20"/>
    </row>
    <row r="39" customFormat="false" ht="15" hidden="false" customHeight="true" outlineLevel="0" collapsed="false">
      <c r="A39" s="65" t="s">
        <v>568</v>
      </c>
      <c r="B39" s="20"/>
      <c r="C39" s="25"/>
      <c r="D39" s="20"/>
    </row>
    <row r="40" customFormat="false" ht="29.25" hidden="false" customHeight="true" outlineLevel="0" collapsed="false">
      <c r="A40" s="65" t="s">
        <v>569</v>
      </c>
      <c r="B40" s="20"/>
      <c r="C40" s="25"/>
      <c r="D40" s="20"/>
    </row>
    <row r="42" customFormat="false" ht="15" hidden="false" customHeight="true" outlineLevel="0" collapsed="false">
      <c r="A42" s="26" t="s">
        <v>570</v>
      </c>
      <c r="B42" s="26"/>
      <c r="C42" s="26"/>
      <c r="D42" s="26"/>
    </row>
    <row r="43" customFormat="false" ht="26.25" hidden="false" customHeight="true" outlineLevel="0" collapsed="false">
      <c r="A43" s="28" t="s">
        <v>571</v>
      </c>
      <c r="B43" s="28"/>
      <c r="C43" s="28"/>
      <c r="D43" s="28"/>
    </row>
    <row r="44" customFormat="false" ht="32.25" hidden="false" customHeight="true" outlineLevel="0" collapsed="false">
      <c r="A44" s="23" t="s">
        <v>572</v>
      </c>
      <c r="B44" s="23" t="s">
        <v>573</v>
      </c>
      <c r="C44" s="23" t="s">
        <v>574</v>
      </c>
      <c r="D44" s="23" t="s">
        <v>575</v>
      </c>
    </row>
    <row r="45" customFormat="false" ht="15" hidden="false" customHeight="true" outlineLevel="0" collapsed="false">
      <c r="A45" s="25"/>
      <c r="B45" s="25"/>
      <c r="C45" s="56" t="str">
        <f aca="false">IF(OR(A45="",B45=""),"",IF(AND(A45="低",B45="低"),"単純：ベストプラクティスを適用",IF(AND(A45="高",B45="高"),"混沌：まず行動し、状況を安定させる",IF(OR(A45="高",B45="高"),"複雑：試行錯誤しながら創発的に対応（適応型が妥当）","煩雑：専門家による分析で対応（予測型が妥当な場合も）"))))</f>
        <v/>
      </c>
      <c r="D45" s="20"/>
    </row>
  </sheetData>
  <mergeCells count="16">
    <mergeCell ref="A1:D1"/>
    <mergeCell ref="A2:D2"/>
    <mergeCell ref="A4:D4"/>
    <mergeCell ref="A5:D5"/>
    <mergeCell ref="A14:D14"/>
    <mergeCell ref="C15:D15"/>
    <mergeCell ref="C16:D16"/>
    <mergeCell ref="C17:D17"/>
    <mergeCell ref="C18:D18"/>
    <mergeCell ref="C19:D19"/>
    <mergeCell ref="A21:D21"/>
    <mergeCell ref="A22:D22"/>
    <mergeCell ref="A29:D29"/>
    <mergeCell ref="A31:D31"/>
    <mergeCell ref="A42:D42"/>
    <mergeCell ref="A43:D43"/>
  </mergeCells>
  <conditionalFormatting sqref="C33:C40">
    <cfRule type="colorScale" priority="2">
      <colorScale>
        <cfvo type="min" val="0"/>
        <cfvo type="percentile" val="50"/>
        <cfvo type="max" val="0"/>
        <color rgb="FFF4A9A9"/>
        <color rgb="FFFFE699"/>
        <color rgb="FFC6E0B4"/>
      </colorScale>
    </cfRule>
  </conditionalFormatting>
  <dataValidations count="3">
    <dataValidation allowBlank="true" errorStyle="stop" operator="between" showDropDown="false" showErrorMessage="false" showInputMessage="false" sqref="B7:B12" type="list">
      <formula1>"低（習熟度1）,やや低（習熟度2）,やや高（習熟度3）,高（習熟度4）"</formula1>
      <formula2>0</formula2>
    </dataValidation>
    <dataValidation allowBlank="true" errorStyle="stop" operator="between" showDropDown="false" showErrorMessage="false" showInputMessage="false" sqref="C33:C40" type="list">
      <formula1>"未着手,進行中,完了"</formula1>
      <formula2>0</formula2>
    </dataValidation>
    <dataValidation allowBlank="true" errorStyle="stop" operator="between" showDropDown="false" showErrorMessage="false" showInputMessage="false" sqref="A45:B45" type="list">
      <formula1>"低,高"</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24"/>
    <col collapsed="false" customWidth="true" hidden="false" outlineLevel="0" max="3" min="3" style="1" width="20"/>
    <col collapsed="false" customWidth="true" hidden="false" outlineLevel="0" max="5" min="4" style="1" width="22"/>
  </cols>
  <sheetData>
    <row r="1" customFormat="false" ht="19.5" hidden="false" customHeight="true" outlineLevel="0" collapsed="false">
      <c r="A1" s="2" t="s">
        <v>576</v>
      </c>
      <c r="B1" s="2"/>
      <c r="C1" s="2"/>
      <c r="D1" s="2"/>
      <c r="E1" s="2"/>
    </row>
    <row r="2" customFormat="false" ht="15" hidden="false" customHeight="true" outlineLevel="0" collapsed="false">
      <c r="A2" s="28" t="s">
        <v>577</v>
      </c>
      <c r="B2" s="28"/>
      <c r="C2" s="28"/>
      <c r="D2" s="28"/>
      <c r="E2" s="28"/>
    </row>
    <row r="4" customFormat="false" ht="15" hidden="false" customHeight="true" outlineLevel="0" collapsed="false">
      <c r="A4" s="26" t="s">
        <v>578</v>
      </c>
      <c r="B4" s="26"/>
      <c r="C4" s="26"/>
      <c r="D4" s="26"/>
      <c r="E4" s="26"/>
    </row>
    <row r="5" customFormat="false" ht="16.5" hidden="false" customHeight="true" outlineLevel="0" collapsed="false">
      <c r="A5" s="23" t="s">
        <v>399</v>
      </c>
      <c r="B5" s="23" t="s">
        <v>579</v>
      </c>
      <c r="C5" s="23" t="s">
        <v>580</v>
      </c>
      <c r="D5" s="23" t="s">
        <v>581</v>
      </c>
      <c r="E5" s="23" t="s">
        <v>582</v>
      </c>
    </row>
    <row r="6" customFormat="false" ht="15" hidden="false" customHeight="true" outlineLevel="0" collapsed="false">
      <c r="A6" s="20"/>
      <c r="B6" s="25"/>
      <c r="C6" s="20"/>
      <c r="D6" s="20"/>
      <c r="E6" s="20"/>
    </row>
    <row r="7" customFormat="false" ht="15" hidden="false" customHeight="true" outlineLevel="0" collapsed="false">
      <c r="A7" s="20"/>
      <c r="B7" s="25"/>
      <c r="C7" s="20"/>
      <c r="D7" s="20"/>
      <c r="E7" s="20"/>
    </row>
    <row r="8" customFormat="false" ht="15" hidden="false" customHeight="true" outlineLevel="0" collapsed="false">
      <c r="A8" s="20"/>
      <c r="B8" s="25"/>
      <c r="C8" s="20"/>
      <c r="D8" s="20"/>
      <c r="E8" s="20"/>
    </row>
    <row r="9" customFormat="false" ht="15" hidden="false" customHeight="true" outlineLevel="0" collapsed="false">
      <c r="A9" s="20"/>
      <c r="B9" s="25"/>
      <c r="C9" s="20"/>
      <c r="D9" s="20"/>
      <c r="E9" s="20"/>
    </row>
    <row r="10" customFormat="false" ht="15" hidden="false" customHeight="true" outlineLevel="0" collapsed="false">
      <c r="A10" s="20"/>
      <c r="B10" s="25"/>
      <c r="C10" s="20"/>
      <c r="D10" s="20"/>
      <c r="E10" s="20"/>
    </row>
    <row r="11" customFormat="false" ht="15" hidden="false" customHeight="true" outlineLevel="0" collapsed="false">
      <c r="A11" s="20"/>
      <c r="B11" s="25"/>
      <c r="C11" s="20"/>
      <c r="D11" s="20"/>
      <c r="E11" s="20"/>
    </row>
    <row r="13" customFormat="false" ht="15" hidden="false" customHeight="true" outlineLevel="0" collapsed="false">
      <c r="A13" s="26" t="s">
        <v>583</v>
      </c>
      <c r="B13" s="26"/>
      <c r="C13" s="26"/>
      <c r="D13" s="26"/>
      <c r="E13" s="26"/>
    </row>
    <row r="14" customFormat="false" ht="16.5" hidden="false" customHeight="true" outlineLevel="0" collapsed="false">
      <c r="A14" s="23" t="s">
        <v>584</v>
      </c>
      <c r="B14" s="23" t="s">
        <v>317</v>
      </c>
      <c r="C14" s="23" t="s">
        <v>585</v>
      </c>
      <c r="D14" s="23" t="s">
        <v>586</v>
      </c>
      <c r="E14" s="23" t="s">
        <v>69</v>
      </c>
    </row>
    <row r="15" customFormat="false" ht="26.25" hidden="false" customHeight="true" outlineLevel="0" collapsed="false">
      <c r="A15" s="42" t="s">
        <v>587</v>
      </c>
      <c r="B15" s="50" t="s">
        <v>588</v>
      </c>
      <c r="C15" s="25"/>
      <c r="D15" s="25"/>
      <c r="E15" s="20"/>
    </row>
    <row r="16" customFormat="false" ht="26.25" hidden="false" customHeight="true" outlineLevel="0" collapsed="false">
      <c r="A16" s="42" t="s">
        <v>589</v>
      </c>
      <c r="B16" s="50" t="s">
        <v>590</v>
      </c>
      <c r="C16" s="25"/>
      <c r="D16" s="25"/>
      <c r="E16" s="20"/>
    </row>
    <row r="17" customFormat="false" ht="26.25" hidden="false" customHeight="true" outlineLevel="0" collapsed="false">
      <c r="A17" s="42" t="s">
        <v>591</v>
      </c>
      <c r="B17" s="50" t="s">
        <v>592</v>
      </c>
      <c r="C17" s="25"/>
      <c r="D17" s="25"/>
      <c r="E17" s="20"/>
    </row>
    <row r="18" customFormat="false" ht="26.25" hidden="false" customHeight="true" outlineLevel="0" collapsed="false">
      <c r="A18" s="42" t="s">
        <v>593</v>
      </c>
      <c r="B18" s="50" t="s">
        <v>594</v>
      </c>
      <c r="C18" s="25"/>
      <c r="D18" s="25"/>
      <c r="E18" s="20"/>
    </row>
    <row r="20" customFormat="false" ht="15" hidden="false" customHeight="true" outlineLevel="0" collapsed="false">
      <c r="A20" s="26" t="s">
        <v>595</v>
      </c>
      <c r="B20" s="26"/>
      <c r="C20" s="26"/>
      <c r="D20" s="26"/>
      <c r="E20" s="26"/>
    </row>
    <row r="21" customFormat="false" ht="16.5" hidden="false" customHeight="true" outlineLevel="0" collapsed="false">
      <c r="A21" s="23" t="s">
        <v>596</v>
      </c>
      <c r="B21" s="23" t="s">
        <v>317</v>
      </c>
      <c r="C21" s="23" t="s">
        <v>597</v>
      </c>
      <c r="D21" s="23" t="s">
        <v>280</v>
      </c>
      <c r="E21" s="23" t="s">
        <v>598</v>
      </c>
    </row>
    <row r="22" customFormat="false" ht="26.25" hidden="false" customHeight="true" outlineLevel="0" collapsed="false">
      <c r="A22" s="42" t="s">
        <v>599</v>
      </c>
      <c r="B22" s="50" t="s">
        <v>600</v>
      </c>
      <c r="C22" s="25"/>
      <c r="D22" s="20"/>
      <c r="E22" s="25"/>
    </row>
    <row r="23" customFormat="false" ht="39" hidden="false" customHeight="true" outlineLevel="0" collapsed="false">
      <c r="A23" s="42" t="s">
        <v>601</v>
      </c>
      <c r="B23" s="50" t="s">
        <v>602</v>
      </c>
      <c r="C23" s="25"/>
      <c r="D23" s="20"/>
      <c r="E23" s="25"/>
    </row>
    <row r="24" customFormat="false" ht="29.25" hidden="false" customHeight="true" outlineLevel="0" collapsed="false">
      <c r="A24" s="42" t="s">
        <v>603</v>
      </c>
      <c r="B24" s="50" t="s">
        <v>604</v>
      </c>
      <c r="C24" s="25"/>
      <c r="D24" s="20"/>
      <c r="E24" s="25"/>
    </row>
    <row r="25" customFormat="false" ht="29.25" hidden="false" customHeight="true" outlineLevel="0" collapsed="false">
      <c r="A25" s="42" t="s">
        <v>605</v>
      </c>
      <c r="B25" s="50" t="s">
        <v>606</v>
      </c>
      <c r="C25" s="25"/>
      <c r="D25" s="20"/>
      <c r="E25" s="25"/>
    </row>
    <row r="27" customFormat="false" ht="15" hidden="false" customHeight="true" outlineLevel="0" collapsed="false">
      <c r="A27" s="26" t="s">
        <v>607</v>
      </c>
      <c r="B27" s="26"/>
      <c r="C27" s="26"/>
      <c r="D27" s="26"/>
      <c r="E27" s="26"/>
    </row>
    <row r="28" customFormat="false" ht="15" hidden="false" customHeight="true" outlineLevel="0" collapsed="false">
      <c r="A28" s="28" t="s">
        <v>608</v>
      </c>
      <c r="B28" s="28"/>
      <c r="C28" s="28"/>
      <c r="D28" s="28"/>
      <c r="E28" s="28"/>
    </row>
    <row r="29" customFormat="false" ht="32.25" hidden="false" customHeight="true" outlineLevel="0" collapsed="false">
      <c r="A29" s="23" t="s">
        <v>609</v>
      </c>
      <c r="B29" s="23" t="s">
        <v>610</v>
      </c>
      <c r="C29" s="23" t="s">
        <v>611</v>
      </c>
      <c r="D29" s="23" t="s">
        <v>612</v>
      </c>
      <c r="E29" s="23" t="s">
        <v>69</v>
      </c>
    </row>
    <row r="30" customFormat="false" ht="15" hidden="false" customHeight="true" outlineLevel="0" collapsed="false">
      <c r="A30" s="66" t="s">
        <v>613</v>
      </c>
      <c r="B30" s="31" t="s">
        <v>614</v>
      </c>
      <c r="C30" s="25"/>
      <c r="D30" s="20"/>
      <c r="E30" s="20"/>
    </row>
    <row r="31" customFormat="false" ht="29.25" hidden="false" customHeight="true" outlineLevel="0" collapsed="false">
      <c r="A31" s="66" t="s">
        <v>613</v>
      </c>
      <c r="B31" s="31" t="s">
        <v>615</v>
      </c>
      <c r="C31" s="25"/>
      <c r="D31" s="20"/>
      <c r="E31" s="20"/>
    </row>
    <row r="32" customFormat="false" ht="15" hidden="false" customHeight="true" outlineLevel="0" collapsed="false">
      <c r="A32" s="66" t="s">
        <v>613</v>
      </c>
      <c r="B32" s="31" t="s">
        <v>616</v>
      </c>
      <c r="C32" s="25"/>
      <c r="D32" s="20"/>
      <c r="E32" s="20"/>
    </row>
    <row r="33" customFormat="false" ht="29.25" hidden="false" customHeight="true" outlineLevel="0" collapsed="false">
      <c r="A33" s="66" t="s">
        <v>617</v>
      </c>
      <c r="B33" s="31" t="s">
        <v>618</v>
      </c>
      <c r="C33" s="25"/>
      <c r="D33" s="20"/>
      <c r="E33" s="20"/>
    </row>
    <row r="34" customFormat="false" ht="43.5" hidden="false" customHeight="true" outlineLevel="0" collapsed="false">
      <c r="A34" s="66" t="s">
        <v>617</v>
      </c>
      <c r="B34" s="31" t="s">
        <v>619</v>
      </c>
      <c r="C34" s="25"/>
      <c r="D34" s="20"/>
      <c r="E34" s="20"/>
    </row>
    <row r="35" customFormat="false" ht="29.25" hidden="false" customHeight="true" outlineLevel="0" collapsed="false">
      <c r="A35" s="66" t="s">
        <v>617</v>
      </c>
      <c r="B35" s="31" t="s">
        <v>620</v>
      </c>
      <c r="C35" s="25"/>
      <c r="D35" s="20"/>
      <c r="E35" s="20"/>
    </row>
    <row r="36" customFormat="false" ht="15" hidden="false" customHeight="true" outlineLevel="0" collapsed="false">
      <c r="A36" s="66" t="s">
        <v>617</v>
      </c>
      <c r="B36" s="31" t="s">
        <v>621</v>
      </c>
      <c r="C36" s="25"/>
      <c r="D36" s="20"/>
      <c r="E36" s="20"/>
    </row>
    <row r="37" customFormat="false" ht="43.5" hidden="false" customHeight="true" outlineLevel="0" collapsed="false">
      <c r="A37" s="66" t="s">
        <v>617</v>
      </c>
      <c r="B37" s="31" t="s">
        <v>622</v>
      </c>
      <c r="C37" s="25"/>
      <c r="D37" s="20"/>
      <c r="E37" s="20"/>
    </row>
    <row r="38" customFormat="false" ht="43.5" hidden="false" customHeight="true" outlineLevel="0" collapsed="false">
      <c r="A38" s="66" t="s">
        <v>617</v>
      </c>
      <c r="B38" s="31" t="s">
        <v>623</v>
      </c>
      <c r="C38" s="25"/>
      <c r="D38" s="20"/>
      <c r="E38" s="20"/>
    </row>
    <row r="39" customFormat="false" ht="29.25" hidden="false" customHeight="true" outlineLevel="0" collapsed="false">
      <c r="A39" s="66" t="s">
        <v>617</v>
      </c>
      <c r="B39" s="31" t="s">
        <v>624</v>
      </c>
      <c r="C39" s="25"/>
      <c r="D39" s="20"/>
      <c r="E39" s="20"/>
    </row>
    <row r="41" customFormat="false" ht="15" hidden="false" customHeight="true" outlineLevel="0" collapsed="false">
      <c r="A41" s="39" t="s">
        <v>625</v>
      </c>
      <c r="B41" s="39"/>
      <c r="C41" s="40" t="n">
        <f aca="false">IFERROR(COUNTIF(C30:C39,"整備済み")/COUNTA(C30:C39),0)</f>
        <v>0</v>
      </c>
    </row>
  </sheetData>
  <mergeCells count="8">
    <mergeCell ref="A1:E1"/>
    <mergeCell ref="A2:E2"/>
    <mergeCell ref="A4:E4"/>
    <mergeCell ref="A13:E13"/>
    <mergeCell ref="A20:E20"/>
    <mergeCell ref="A27:E27"/>
    <mergeCell ref="A28:E28"/>
    <mergeCell ref="A41:B41"/>
  </mergeCells>
  <conditionalFormatting sqref="C30:C39">
    <cfRule type="colorScale" priority="2">
      <colorScale>
        <cfvo type="min" val="0"/>
        <cfvo type="percentile" val="50"/>
        <cfvo type="max" val="0"/>
        <color rgb="FFF4A9A9"/>
        <color rgb="FFFFE699"/>
        <color rgb="FFC6E0B4"/>
      </colorScale>
    </cfRule>
  </conditionalFormatting>
  <dataValidations count="4">
    <dataValidation allowBlank="true" errorStyle="stop" operator="between" showDropDown="false" showErrorMessage="false" showInputMessage="false" sqref="B6:B11" type="list">
      <formula1>"内外製分析,根本原因分析,SWOT分析,傾向分析,差異分析"</formula1>
      <formula2>0</formula2>
    </dataValidation>
    <dataValidation allowBlank="true" errorStyle="stop" operator="between" showDropDown="false" showErrorMessage="false" showInputMessage="false" sqref="D15:D18" type="list">
      <formula1>"実施中,未実施,対象外"</formula1>
      <formula2>0</formula2>
    </dataValidation>
    <dataValidation allowBlank="true" errorStyle="stop" operator="between" showDropDown="false" showErrorMessage="false" showInputMessage="false" sqref="C22:C25" type="list">
      <formula1>"未作成,作成中,完成,更新が必要"</formula1>
      <formula2>0</formula2>
    </dataValidation>
    <dataValidation allowBlank="true" errorStyle="stop" operator="between" showDropDown="false" showErrorMessage="false" showInputMessage="false" sqref="C30:C39" type="list">
      <formula1>"未整備,整備中,整備済み"</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2026-07-24T09:09:03Z</dcterms:created>
  <dc:creator>openpyxl</dc:creator>
  <dc:description/>
  <dc:language>en-US</dc:language>
  <cp:lastModifiedBy/>
  <dcterms:modified xsi:type="dcterms:W3CDTF">2026-07-31T12:17:59Z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