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使い方" sheetId="1" state="visible" r:id="rId3"/>
    <sheet name="①体制_役割定義" sheetId="2" state="visible" r:id="rId4"/>
    <sheet name="②マインドセット_リーダーシップ" sheetId="3" state="visible" r:id="rId5"/>
    <sheet name="③プロジェクト立ち上げ" sheetId="4" state="visible" r:id="rId6"/>
    <sheet name="④WBS_要件定義" sheetId="5" state="visible" r:id="rId7"/>
    <sheet name="⑤QCD_マイルストーン" sheetId="6" state="visible" r:id="rId8"/>
    <sheet name="⑥PERT法見積もり" sheetId="7" state="visible" r:id="rId9"/>
    <sheet name="⑦リスク管理" sheetId="8" state="visible" r:id="rId10"/>
    <sheet name="⑧コミュニケーション_チーム"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<sst xmlns="http://schemas.openxmlformats.org/spreadsheetml/2006/main" count="349" uniqueCount="316">
  <si>
    <t xml:space="preserve">マネジメントスキル 整理用テンプレート</t>
  </si>
  <si>
    <r>
      <rPr>
        <i val="true"/>
        <sz val="10"/>
        <color rgb="FF595959"/>
        <rFont val="Noto Sans CJK SC"/>
        <family val="2"/>
        <charset val="1"/>
      </rPr>
      <t xml:space="preserve">マネジメントスキルを身につけよう（マナビ</t>
    </r>
    <r>
      <rPr>
        <i val="true"/>
        <sz val="10"/>
        <color rgb="FF595959"/>
        <rFont val="Yu Gothic"/>
        <family val="0"/>
        <charset val="1"/>
      </rPr>
      <t xml:space="preserve">DX</t>
    </r>
    <r>
      <rPr>
        <i val="true"/>
        <sz val="10"/>
        <color rgb="FF595959"/>
        <rFont val="Noto Sans CJK SC"/>
        <family val="2"/>
        <charset val="1"/>
      </rPr>
      <t xml:space="preserve">クエスト）の学習内容をもとにした実務用ワークシート集</t>
    </r>
  </si>
  <si>
    <t xml:space="preserve">■ このテンプレートの目的</t>
  </si>
  <si>
    <r>
      <rPr>
        <sz val="10"/>
        <color rgb="FF000000"/>
        <rFont val="Noto Sans CJK SC"/>
        <family val="2"/>
        <charset val="1"/>
      </rPr>
      <t xml:space="preserve">本テンプレートは、マナビ</t>
    </r>
    <r>
      <rPr>
        <sz val="10"/>
        <color rgb="FF000000"/>
        <rFont val="Yu Gothic"/>
        <family val="0"/>
        <charset val="1"/>
      </rPr>
      <t xml:space="preserve">DX</t>
    </r>
    <r>
      <rPr>
        <sz val="10"/>
        <color rgb="FF000000"/>
        <rFont val="Noto Sans CJK SC"/>
        <family val="2"/>
        <charset val="1"/>
      </rPr>
      <t xml:space="preserve">クエストの講座「マネジメントスキルを身につけよう」（全</t>
    </r>
    <r>
      <rPr>
        <sz val="10"/>
        <color rgb="FF000000"/>
        <rFont val="Yu Gothic"/>
        <family val="0"/>
        <charset val="1"/>
      </rPr>
      <t xml:space="preserve">8</t>
    </r>
    <r>
      <rPr>
        <sz val="10"/>
        <color rgb="FF000000"/>
        <rFont val="Noto Sans CJK SC"/>
        <family val="2"/>
        <charset val="1"/>
      </rPr>
      <t xml:space="preserve">章）で学ぶ、マネジメントの役職・マインドセット → プロジェクトの立ち上げ → </t>
    </r>
    <r>
      <rPr>
        <sz val="10"/>
        <color rgb="FF000000"/>
        <rFont val="Yu Gothic"/>
        <family val="0"/>
        <charset val="1"/>
      </rPr>
      <t xml:space="preserve">WBS</t>
    </r>
    <r>
      <rPr>
        <sz val="10"/>
        <color rgb="FF000000"/>
        <rFont val="Noto Sans CJK SC"/>
        <family val="2"/>
        <charset val="1"/>
      </rPr>
      <t xml:space="preserve">・要件定義 → </t>
    </r>
    <r>
      <rPr>
        <sz val="10"/>
        <color rgb="FF000000"/>
        <rFont val="Yu Gothic"/>
        <family val="0"/>
        <charset val="1"/>
      </rPr>
      <t xml:space="preserve">QCD</t>
    </r>
    <r>
      <rPr>
        <sz val="10"/>
        <color rgb="FF000000"/>
        <rFont val="Noto Sans CJK SC"/>
        <family val="2"/>
        <charset val="1"/>
      </rPr>
      <t xml:space="preserve">とマイルストーン管理 → </t>
    </r>
    <r>
      <rPr>
        <sz val="10"/>
        <color rgb="FF000000"/>
        <rFont val="Yu Gothic"/>
        <family val="0"/>
        <charset val="1"/>
      </rPr>
      <t xml:space="preserve">PERT</t>
    </r>
    <r>
      <rPr>
        <sz val="10"/>
        <color rgb="FF000000"/>
        <rFont val="Noto Sans CJK SC"/>
        <family val="2"/>
        <charset val="1"/>
      </rPr>
      <t xml:space="preserve">法による見積もり → リスクマネジメント → コミュニケーション・チームビルディングという一連のマネジメント業務を、実際のプロジェクト運営で使える形にシート化したものです。</t>
    </r>
  </si>
  <si>
    <t xml:space="preserve">■ シート構成（学習した章との対応）</t>
  </si>
  <si>
    <t xml:space="preserve">No</t>
  </si>
  <si>
    <t xml:space="preserve">シート名</t>
  </si>
  <si>
    <t xml:space="preserve">内容</t>
  </si>
  <si>
    <t xml:space="preserve">対応する章</t>
  </si>
  <si>
    <t xml:space="preserve">1</t>
  </si>
  <si>
    <r>
      <rPr>
        <sz val="10"/>
        <color rgb="FF000000"/>
        <rFont val="Noto Sans CJK SC"/>
        <family val="2"/>
        <charset val="1"/>
      </rPr>
      <t xml:space="preserve">①体制</t>
    </r>
    <r>
      <rPr>
        <sz val="10"/>
        <color rgb="FF000000"/>
        <rFont val="Yu Gothic"/>
        <family val="0"/>
        <charset val="1"/>
      </rPr>
      <t xml:space="preserve">_</t>
    </r>
    <r>
      <rPr>
        <sz val="10"/>
        <color rgb="FF000000"/>
        <rFont val="Noto Sans CJK SC"/>
        <family val="2"/>
        <charset val="1"/>
      </rPr>
      <t xml:space="preserve">役割定義</t>
    </r>
  </si>
  <si>
    <r>
      <rPr>
        <sz val="10"/>
        <color rgb="FF000000"/>
        <rFont val="Yu Gothic"/>
        <family val="0"/>
        <charset val="1"/>
      </rPr>
      <t xml:space="preserve">PM</t>
    </r>
    <r>
      <rPr>
        <sz val="10"/>
        <color rgb="FF000000"/>
        <rFont val="Noto Sans CJK SC"/>
        <family val="2"/>
        <charset val="1"/>
      </rPr>
      <t xml:space="preserve">・</t>
    </r>
    <r>
      <rPr>
        <sz val="10"/>
        <color rgb="FF000000"/>
        <rFont val="Yu Gothic"/>
        <family val="0"/>
        <charset val="1"/>
      </rPr>
      <t xml:space="preserve">PdM</t>
    </r>
    <r>
      <rPr>
        <sz val="10"/>
        <color rgb="FF000000"/>
        <rFont val="Noto Sans CJK SC"/>
        <family val="2"/>
        <charset val="1"/>
      </rPr>
      <t xml:space="preserve">・ディレクターの役割と責務を整理し、自分のプロジェクトの体制図を作成する</t>
    </r>
  </si>
  <si>
    <r>
      <rPr>
        <sz val="10"/>
        <color rgb="FF000000"/>
        <rFont val="Yu Gothic"/>
        <family val="0"/>
        <charset val="1"/>
      </rPr>
      <t xml:space="preserve">1</t>
    </r>
    <r>
      <rPr>
        <sz val="10"/>
        <color rgb="FF000000"/>
        <rFont val="Noto Sans CJK SC"/>
        <family val="2"/>
        <charset val="1"/>
      </rPr>
      <t xml:space="preserve">章</t>
    </r>
  </si>
  <si>
    <t xml:space="preserve">2</t>
  </si>
  <si>
    <r>
      <rPr>
        <sz val="10"/>
        <color rgb="FF000000"/>
        <rFont val="Noto Sans CJK SC"/>
        <family val="2"/>
        <charset val="1"/>
      </rPr>
      <t xml:space="preserve">②マインドセット</t>
    </r>
    <r>
      <rPr>
        <sz val="10"/>
        <color rgb="FF000000"/>
        <rFont val="Yu Gothic"/>
        <family val="0"/>
        <charset val="1"/>
      </rPr>
      <t xml:space="preserve">_</t>
    </r>
    <r>
      <rPr>
        <sz val="10"/>
        <color rgb="FF000000"/>
        <rFont val="Noto Sans CJK SC"/>
        <family val="2"/>
        <charset val="1"/>
      </rPr>
      <t xml:space="preserve">リーダーシップ</t>
    </r>
  </si>
  <si>
    <r>
      <rPr>
        <sz val="10"/>
        <color rgb="FF000000"/>
        <rFont val="Noto Sans CJK SC"/>
        <family val="2"/>
        <charset val="1"/>
      </rPr>
      <t xml:space="preserve">マネージャーに必要な</t>
    </r>
    <r>
      <rPr>
        <sz val="10"/>
        <color rgb="FF000000"/>
        <rFont val="Yu Gothic"/>
        <family val="0"/>
        <charset val="1"/>
      </rPr>
      <t xml:space="preserve">4</t>
    </r>
    <r>
      <rPr>
        <sz val="10"/>
        <color rgb="FF000000"/>
        <rFont val="Noto Sans CJK SC"/>
        <family val="2"/>
        <charset val="1"/>
      </rPr>
      <t xml:space="preserve">つのマインドと</t>
    </r>
    <r>
      <rPr>
        <sz val="10"/>
        <color rgb="FF000000"/>
        <rFont val="Yu Gothic"/>
        <family val="0"/>
        <charset val="1"/>
      </rPr>
      <t xml:space="preserve">5</t>
    </r>
    <r>
      <rPr>
        <sz val="10"/>
        <color rgb="FF000000"/>
        <rFont val="Noto Sans CJK SC"/>
        <family val="2"/>
        <charset val="1"/>
      </rPr>
      <t xml:space="preserve">つのスキルを自己評価し、キックオフ／ウィンセッションを企画する</t>
    </r>
  </si>
  <si>
    <r>
      <rPr>
        <sz val="10"/>
        <color rgb="FF000000"/>
        <rFont val="Yu Gothic"/>
        <family val="0"/>
        <charset val="1"/>
      </rPr>
      <t xml:space="preserve">2</t>
    </r>
    <r>
      <rPr>
        <sz val="10"/>
        <color rgb="FF000000"/>
        <rFont val="Noto Sans CJK SC"/>
        <family val="2"/>
        <charset val="1"/>
      </rPr>
      <t xml:space="preserve">章</t>
    </r>
  </si>
  <si>
    <t xml:space="preserve">3</t>
  </si>
  <si>
    <t xml:space="preserve">③プロジェクト立ち上げ</t>
  </si>
  <si>
    <t xml:space="preserve">プロジェクトの目的・ゴール・ステークホルダーを整理し、開始前後のチェックリストで抜け漏れを防ぐ</t>
  </si>
  <si>
    <r>
      <rPr>
        <sz val="10"/>
        <color rgb="FF000000"/>
        <rFont val="Yu Gothic"/>
        <family val="0"/>
        <charset val="1"/>
      </rPr>
      <t xml:space="preserve">3</t>
    </r>
    <r>
      <rPr>
        <sz val="10"/>
        <color rgb="FF000000"/>
        <rFont val="Noto Sans CJK SC"/>
        <family val="2"/>
        <charset val="1"/>
      </rPr>
      <t xml:space="preserve">章</t>
    </r>
  </si>
  <si>
    <t xml:space="preserve">4</t>
  </si>
  <si>
    <r>
      <rPr>
        <sz val="10"/>
        <color rgb="FF000000"/>
        <rFont val="Yu Gothic"/>
        <family val="0"/>
        <charset val="1"/>
      </rPr>
      <t xml:space="preserve">④WBS_</t>
    </r>
    <r>
      <rPr>
        <sz val="10"/>
        <color rgb="FF000000"/>
        <rFont val="Noto Sans CJK SC"/>
        <family val="2"/>
        <charset val="1"/>
      </rPr>
      <t xml:space="preserve">要件定義</t>
    </r>
  </si>
  <si>
    <r>
      <rPr>
        <sz val="10"/>
        <color rgb="FF000000"/>
        <rFont val="Noto Sans CJK SC"/>
        <family val="2"/>
        <charset val="1"/>
      </rPr>
      <t xml:space="preserve">機能要件・非機能要件を洗い出し、</t>
    </r>
    <r>
      <rPr>
        <sz val="10"/>
        <color rgb="FF000000"/>
        <rFont val="Yu Gothic"/>
        <family val="0"/>
        <charset val="1"/>
      </rPr>
      <t xml:space="preserve">WBS</t>
    </r>
    <r>
      <rPr>
        <sz val="10"/>
        <color rgb="FF000000"/>
        <rFont val="Noto Sans CJK SC"/>
        <family val="2"/>
        <charset val="1"/>
      </rPr>
      <t xml:space="preserve">で工程をタスクに分解してスケジュール管理する（所要日数を自動計算）</t>
    </r>
  </si>
  <si>
    <r>
      <rPr>
        <sz val="10"/>
        <color rgb="FF000000"/>
        <rFont val="Yu Gothic"/>
        <family val="0"/>
        <charset val="1"/>
      </rPr>
      <t xml:space="preserve">4</t>
    </r>
    <r>
      <rPr>
        <sz val="10"/>
        <color rgb="FF000000"/>
        <rFont val="Noto Sans CJK SC"/>
        <family val="2"/>
        <charset val="1"/>
      </rPr>
      <t xml:space="preserve">章</t>
    </r>
  </si>
  <si>
    <t xml:space="preserve">5</t>
  </si>
  <si>
    <r>
      <rPr>
        <sz val="10"/>
        <color rgb="FF000000"/>
        <rFont val="Yu Gothic"/>
        <family val="0"/>
        <charset val="1"/>
      </rPr>
      <t xml:space="preserve">⑤QCD_</t>
    </r>
    <r>
      <rPr>
        <sz val="10"/>
        <color rgb="FF000000"/>
        <rFont val="Noto Sans CJK SC"/>
        <family val="2"/>
        <charset val="1"/>
      </rPr>
      <t xml:space="preserve">マイルストーン</t>
    </r>
  </si>
  <si>
    <r>
      <rPr>
        <sz val="10"/>
        <color rgb="FF000000"/>
        <rFont val="Yu Gothic"/>
        <family val="0"/>
        <charset val="1"/>
      </rPr>
      <t xml:space="preserve">QCD</t>
    </r>
    <r>
      <rPr>
        <sz val="10"/>
        <color rgb="FF000000"/>
        <rFont val="Noto Sans CJK SC"/>
        <family val="2"/>
        <charset val="1"/>
      </rPr>
      <t xml:space="preserve">（品質・コスト・納期）のバランスを検討し、マイルストーンとクリティカルパスを管理する（数式付き）</t>
    </r>
  </si>
  <si>
    <r>
      <rPr>
        <sz val="10"/>
        <color rgb="FF000000"/>
        <rFont val="Yu Gothic"/>
        <family val="0"/>
        <charset val="1"/>
      </rPr>
      <t xml:space="preserve">5</t>
    </r>
    <r>
      <rPr>
        <sz val="10"/>
        <color rgb="FF000000"/>
        <rFont val="Noto Sans CJK SC"/>
        <family val="2"/>
        <charset val="1"/>
      </rPr>
      <t xml:space="preserve">章</t>
    </r>
  </si>
  <si>
    <t xml:space="preserve">6</t>
  </si>
  <si>
    <r>
      <rPr>
        <sz val="10"/>
        <color rgb="FF000000"/>
        <rFont val="Yu Gothic"/>
        <family val="0"/>
        <charset val="1"/>
      </rPr>
      <t xml:space="preserve">⑥PERT</t>
    </r>
    <r>
      <rPr>
        <sz val="10"/>
        <color rgb="FF000000"/>
        <rFont val="Noto Sans CJK SC"/>
        <family val="2"/>
        <charset val="1"/>
      </rPr>
      <t xml:space="preserve">法見積もり</t>
    </r>
  </si>
  <si>
    <r>
      <rPr>
        <sz val="10"/>
        <color rgb="FF000000"/>
        <rFont val="Noto Sans CJK SC"/>
        <family val="2"/>
        <charset val="1"/>
      </rPr>
      <t xml:space="preserve">楽観値・標準値・悲観値から</t>
    </r>
    <r>
      <rPr>
        <sz val="10"/>
        <color rgb="FF000000"/>
        <rFont val="Yu Gothic"/>
        <family val="0"/>
        <charset val="1"/>
      </rPr>
      <t xml:space="preserve">PERT</t>
    </r>
    <r>
      <rPr>
        <sz val="10"/>
        <color rgb="FF000000"/>
        <rFont val="Noto Sans CJK SC"/>
        <family val="2"/>
        <charset val="1"/>
      </rPr>
      <t xml:space="preserve">法で期待値を自動計算し、人件費・開発費・運用保守費を試算する（数式付き）</t>
    </r>
  </si>
  <si>
    <r>
      <rPr>
        <sz val="10"/>
        <color rgb="FF000000"/>
        <rFont val="Yu Gothic"/>
        <family val="0"/>
        <charset val="1"/>
      </rPr>
      <t xml:space="preserve">6</t>
    </r>
    <r>
      <rPr>
        <sz val="10"/>
        <color rgb="FF000000"/>
        <rFont val="Noto Sans CJK SC"/>
        <family val="2"/>
        <charset val="1"/>
      </rPr>
      <t xml:space="preserve">章</t>
    </r>
  </si>
  <si>
    <t xml:space="preserve">7</t>
  </si>
  <si>
    <t xml:space="preserve">⑦リスク管理</t>
  </si>
  <si>
    <r>
      <rPr>
        <sz val="10"/>
        <color rgb="FF000000"/>
        <rFont val="Yu Gothic"/>
        <family val="0"/>
        <charset val="1"/>
      </rPr>
      <t xml:space="preserve">4</t>
    </r>
    <r>
      <rPr>
        <sz val="10"/>
        <color rgb="FF000000"/>
        <rFont val="Noto Sans CJK SC"/>
        <family val="2"/>
        <charset val="1"/>
      </rPr>
      <t xml:space="preserve">カテゴリのリスクを洗い出し、発生確率</t>
    </r>
    <r>
      <rPr>
        <sz val="10"/>
        <color rgb="FF000000"/>
        <rFont val="Yu Gothic"/>
        <family val="0"/>
        <charset val="1"/>
      </rPr>
      <t xml:space="preserve">×</t>
    </r>
    <r>
      <rPr>
        <sz val="10"/>
        <color rgb="FF000000"/>
        <rFont val="Noto Sans CJK SC"/>
        <family val="2"/>
        <charset val="1"/>
      </rPr>
      <t xml:space="preserve">影響度でリスクスコアを自動計算して対策を整理する（数式付き）</t>
    </r>
  </si>
  <si>
    <r>
      <rPr>
        <sz val="10"/>
        <color rgb="FF000000"/>
        <rFont val="Yu Gothic"/>
        <family val="0"/>
        <charset val="1"/>
      </rPr>
      <t xml:space="preserve">7</t>
    </r>
    <r>
      <rPr>
        <sz val="10"/>
        <color rgb="FF000000"/>
        <rFont val="Noto Sans CJK SC"/>
        <family val="2"/>
        <charset val="1"/>
      </rPr>
      <t xml:space="preserve">章</t>
    </r>
  </si>
  <si>
    <t xml:space="preserve">8</t>
  </si>
  <si>
    <r>
      <rPr>
        <sz val="10"/>
        <color rgb="FF000000"/>
        <rFont val="Noto Sans CJK SC"/>
        <family val="2"/>
        <charset val="1"/>
      </rPr>
      <t xml:space="preserve">⑧コミュニケーション</t>
    </r>
    <r>
      <rPr>
        <sz val="10"/>
        <color rgb="FF000000"/>
        <rFont val="Yu Gothic"/>
        <family val="0"/>
        <charset val="1"/>
      </rPr>
      <t xml:space="preserve">_</t>
    </r>
    <r>
      <rPr>
        <sz val="10"/>
        <color rgb="FF000000"/>
        <rFont val="Noto Sans CJK SC"/>
        <family val="2"/>
        <charset val="1"/>
      </rPr>
      <t xml:space="preserve">チーム</t>
    </r>
  </si>
  <si>
    <t xml:space="preserve">効果的なコミュニケーションの実践、チームビルディング施策、コンフリクトの記録・解消を管理する</t>
  </si>
  <si>
    <r>
      <rPr>
        <sz val="10"/>
        <color rgb="FF000000"/>
        <rFont val="Yu Gothic"/>
        <family val="0"/>
        <charset val="1"/>
      </rPr>
      <t xml:space="preserve">8</t>
    </r>
    <r>
      <rPr>
        <sz val="10"/>
        <color rgb="FF000000"/>
        <rFont val="Noto Sans CJK SC"/>
        <family val="2"/>
        <charset val="1"/>
      </rPr>
      <t xml:space="preserve">章</t>
    </r>
  </si>
  <si>
    <t xml:space="preserve">■ 使い方の凡例</t>
  </si>
  <si>
    <t xml:space="preserve">プルダウン付きセル</t>
  </si>
  <si>
    <t xml:space="preserve">評価（高・中・低）や状態などはリストから選択できます</t>
  </si>
  <si>
    <t xml:space="preserve">■ 進め方のおすすめステップ</t>
  </si>
  <si>
    <r>
      <rPr>
        <i val="true"/>
        <sz val="9"/>
        <color rgb="FF333333"/>
        <rFont val="Yu Gothic"/>
        <family val="0"/>
        <charset val="1"/>
      </rPr>
      <t xml:space="preserve">STEP1</t>
    </r>
    <r>
      <rPr>
        <i val="true"/>
        <sz val="9"/>
        <color rgb="FF333333"/>
        <rFont val="Noto Sans CJK SC"/>
        <family val="2"/>
        <charset val="1"/>
      </rPr>
      <t xml:space="preserve">　「①体制</t>
    </r>
    <r>
      <rPr>
        <i val="true"/>
        <sz val="9"/>
        <color rgb="FF333333"/>
        <rFont val="Yu Gothic"/>
        <family val="0"/>
        <charset val="1"/>
      </rPr>
      <t xml:space="preserve">_</t>
    </r>
    <r>
      <rPr>
        <i val="true"/>
        <sz val="9"/>
        <color rgb="FF333333"/>
        <rFont val="Noto Sans CJK SC"/>
        <family val="2"/>
        <charset val="1"/>
      </rPr>
      <t xml:space="preserve">役割定義」でプロジェクトの体制と役割分担を明確にする</t>
    </r>
  </si>
  <si>
    <r>
      <rPr>
        <i val="true"/>
        <sz val="9"/>
        <color rgb="FF333333"/>
        <rFont val="Yu Gothic"/>
        <family val="0"/>
        <charset val="1"/>
      </rPr>
      <t xml:space="preserve">STEP2</t>
    </r>
    <r>
      <rPr>
        <i val="true"/>
        <sz val="9"/>
        <color rgb="FF333333"/>
        <rFont val="Noto Sans CJK SC"/>
        <family val="2"/>
        <charset val="1"/>
      </rPr>
      <t xml:space="preserve">　「②マインドセット</t>
    </r>
    <r>
      <rPr>
        <i val="true"/>
        <sz val="9"/>
        <color rgb="FF333333"/>
        <rFont val="Yu Gothic"/>
        <family val="0"/>
        <charset val="1"/>
      </rPr>
      <t xml:space="preserve">_</t>
    </r>
    <r>
      <rPr>
        <i val="true"/>
        <sz val="9"/>
        <color rgb="FF333333"/>
        <rFont val="Noto Sans CJK SC"/>
        <family val="2"/>
        <charset val="1"/>
      </rPr>
      <t xml:space="preserve">リーダーシップ」で自身のマネジメントスタイルを振り返る</t>
    </r>
  </si>
  <si>
    <r>
      <rPr>
        <i val="true"/>
        <sz val="9"/>
        <color rgb="FF333333"/>
        <rFont val="Yu Gothic"/>
        <family val="0"/>
        <charset val="1"/>
      </rPr>
      <t xml:space="preserve">STEP3</t>
    </r>
    <r>
      <rPr>
        <i val="true"/>
        <sz val="9"/>
        <color rgb="FF333333"/>
        <rFont val="Noto Sans CJK SC"/>
        <family val="2"/>
        <charset val="1"/>
      </rPr>
      <t xml:space="preserve">　「③プロジェクト立ち上げ」で目的・ゴール・ステークホルダーを確認する</t>
    </r>
  </si>
  <si>
    <r>
      <rPr>
        <i val="true"/>
        <sz val="9"/>
        <color rgb="FF333333"/>
        <rFont val="Yu Gothic"/>
        <family val="0"/>
        <charset val="1"/>
      </rPr>
      <t xml:space="preserve">STEP4</t>
    </r>
    <r>
      <rPr>
        <i val="true"/>
        <sz val="9"/>
        <color rgb="FF333333"/>
        <rFont val="Noto Sans CJK SC"/>
        <family val="2"/>
        <charset val="1"/>
      </rPr>
      <t xml:space="preserve">　「④</t>
    </r>
    <r>
      <rPr>
        <i val="true"/>
        <sz val="9"/>
        <color rgb="FF333333"/>
        <rFont val="Yu Gothic"/>
        <family val="0"/>
        <charset val="1"/>
      </rPr>
      <t xml:space="preserve">WBS_</t>
    </r>
    <r>
      <rPr>
        <i val="true"/>
        <sz val="9"/>
        <color rgb="FF333333"/>
        <rFont val="Noto Sans CJK SC"/>
        <family val="2"/>
        <charset val="1"/>
      </rPr>
      <t xml:space="preserve">要件定義」でタスクを洗い出し、スケジュールに落とし込む</t>
    </r>
  </si>
  <si>
    <r>
      <rPr>
        <i val="true"/>
        <sz val="9"/>
        <color rgb="FF333333"/>
        <rFont val="Yu Gothic"/>
        <family val="0"/>
        <charset val="1"/>
      </rPr>
      <t xml:space="preserve">STEP5</t>
    </r>
    <r>
      <rPr>
        <i val="true"/>
        <sz val="9"/>
        <color rgb="FF333333"/>
        <rFont val="Noto Sans CJK SC"/>
        <family val="2"/>
        <charset val="1"/>
      </rPr>
      <t xml:space="preserve">　「⑤</t>
    </r>
    <r>
      <rPr>
        <i val="true"/>
        <sz val="9"/>
        <color rgb="FF333333"/>
        <rFont val="Yu Gothic"/>
        <family val="0"/>
        <charset val="1"/>
      </rPr>
      <t xml:space="preserve">QCD_</t>
    </r>
    <r>
      <rPr>
        <i val="true"/>
        <sz val="9"/>
        <color rgb="FF333333"/>
        <rFont val="Noto Sans CJK SC"/>
        <family val="2"/>
        <charset val="1"/>
      </rPr>
      <t xml:space="preserve">マイルストーン」と「⑥</t>
    </r>
    <r>
      <rPr>
        <i val="true"/>
        <sz val="9"/>
        <color rgb="FF333333"/>
        <rFont val="Yu Gothic"/>
        <family val="0"/>
        <charset val="1"/>
      </rPr>
      <t xml:space="preserve">PERT</t>
    </r>
    <r>
      <rPr>
        <i val="true"/>
        <sz val="9"/>
        <color rgb="FF333333"/>
        <rFont val="Noto Sans CJK SC"/>
        <family val="2"/>
        <charset val="1"/>
      </rPr>
      <t xml:space="preserve">法見積もり」で品質・コスト・納期の計画を立てる</t>
    </r>
  </si>
  <si>
    <r>
      <rPr>
        <i val="true"/>
        <sz val="9"/>
        <color rgb="FF333333"/>
        <rFont val="Yu Gothic"/>
        <family val="0"/>
        <charset val="1"/>
      </rPr>
      <t xml:space="preserve">STEP6</t>
    </r>
    <r>
      <rPr>
        <i val="true"/>
        <sz val="9"/>
        <color rgb="FF333333"/>
        <rFont val="Noto Sans CJK SC"/>
        <family val="2"/>
        <charset val="1"/>
      </rPr>
      <t xml:space="preserve">　プロジェクト進行中は「⑦リスク管理」と「⑧コミュニケーション</t>
    </r>
    <r>
      <rPr>
        <i val="true"/>
        <sz val="9"/>
        <color rgb="FF333333"/>
        <rFont val="Yu Gothic"/>
        <family val="0"/>
        <charset val="1"/>
      </rPr>
      <t xml:space="preserve">_</t>
    </r>
    <r>
      <rPr>
        <i val="true"/>
        <sz val="9"/>
        <color rgb="FF333333"/>
        <rFont val="Noto Sans CJK SC"/>
        <family val="2"/>
        <charset val="1"/>
      </rPr>
      <t xml:space="preserve">チーム」を継続的に更新する</t>
    </r>
  </si>
  <si>
    <t xml:space="preserve">①体制・役割定義</t>
  </si>
  <si>
    <r>
      <rPr>
        <i val="true"/>
        <sz val="10"/>
        <color rgb="FF595959"/>
        <rFont val="Noto Sans CJK SC"/>
        <family val="2"/>
        <charset val="1"/>
      </rPr>
      <t xml:space="preserve">マネジメントの職種（</t>
    </r>
    <r>
      <rPr>
        <i val="true"/>
        <sz val="10"/>
        <color rgb="FF595959"/>
        <rFont val="Yu Gothic"/>
        <family val="0"/>
        <charset val="1"/>
      </rPr>
      <t xml:space="preserve">PM</t>
    </r>
    <r>
      <rPr>
        <i val="true"/>
        <sz val="10"/>
        <color rgb="FF595959"/>
        <rFont val="Noto Sans CJK SC"/>
        <family val="2"/>
        <charset val="1"/>
      </rPr>
      <t xml:space="preserve">・</t>
    </r>
    <r>
      <rPr>
        <i val="true"/>
        <sz val="10"/>
        <color rgb="FF595959"/>
        <rFont val="Yu Gothic"/>
        <family val="0"/>
        <charset val="1"/>
      </rPr>
      <t xml:space="preserve">PdM</t>
    </r>
    <r>
      <rPr>
        <i val="true"/>
        <sz val="10"/>
        <color rgb="FF595959"/>
        <rFont val="Noto Sans CJK SC"/>
        <family val="2"/>
        <charset val="1"/>
      </rPr>
      <t xml:space="preserve">・ディレクター）と責務を整理する（</t>
    </r>
    <r>
      <rPr>
        <i val="true"/>
        <sz val="10"/>
        <color rgb="FF595959"/>
        <rFont val="Yu Gothic"/>
        <family val="0"/>
        <charset val="1"/>
      </rPr>
      <t xml:space="preserve">1</t>
    </r>
    <r>
      <rPr>
        <i val="true"/>
        <sz val="10"/>
        <color rgb="FF595959"/>
        <rFont val="Noto Sans CJK SC"/>
        <family val="2"/>
        <charset val="1"/>
      </rPr>
      <t xml:space="preserve">章）</t>
    </r>
  </si>
  <si>
    <r>
      <rPr>
        <b val="true"/>
        <sz val="11"/>
        <color rgb="FF1F4E78"/>
        <rFont val="Noto Sans CJK SC"/>
        <family val="2"/>
        <charset val="1"/>
      </rPr>
      <t xml:space="preserve">■ マネジメントの</t>
    </r>
    <r>
      <rPr>
        <b val="true"/>
        <sz val="11"/>
        <color rgb="FF1F4E78"/>
        <rFont val="Yu Gothic"/>
        <family val="0"/>
        <charset val="1"/>
      </rPr>
      <t xml:space="preserve">3</t>
    </r>
    <r>
      <rPr>
        <b val="true"/>
        <sz val="11"/>
        <color rgb="FF1F4E78"/>
        <rFont val="Noto Sans CJK SC"/>
        <family val="2"/>
        <charset val="1"/>
      </rPr>
      <t xml:space="preserve">つの職種</t>
    </r>
  </si>
  <si>
    <t xml:space="preserve">職種</t>
  </si>
  <si>
    <t xml:space="preserve">役割</t>
  </si>
  <si>
    <t xml:space="preserve">主な責務</t>
  </si>
  <si>
    <r>
      <rPr>
        <b val="true"/>
        <sz val="10"/>
        <color rgb="FF000000"/>
        <rFont val="Yu Gothic"/>
        <family val="0"/>
        <charset val="1"/>
      </rPr>
      <t xml:space="preserve">PM</t>
    </r>
    <r>
      <rPr>
        <b val="true"/>
        <sz val="10"/>
        <color rgb="FF000000"/>
        <rFont val="Noto Sans CJK SC"/>
        <family val="2"/>
        <charset val="1"/>
      </rPr>
      <t xml:space="preserve">（プロジェクトマネージャー）</t>
    </r>
  </si>
  <si>
    <t xml:space="preserve">プロジェクト全体を統括する</t>
  </si>
  <si>
    <t xml:space="preserve">全体の目標達成／経営層への報告・相談／予算や人員の社内・会社間調整</t>
  </si>
  <si>
    <r>
      <rPr>
        <b val="true"/>
        <sz val="10"/>
        <color rgb="FF000000"/>
        <rFont val="Yu Gothic"/>
        <family val="0"/>
        <charset val="1"/>
      </rPr>
      <t xml:space="preserve">PdM</t>
    </r>
    <r>
      <rPr>
        <b val="true"/>
        <sz val="10"/>
        <color rgb="FF000000"/>
        <rFont val="Noto Sans CJK SC"/>
        <family val="2"/>
        <charset val="1"/>
      </rPr>
      <t xml:space="preserve">（プロダクトマネージャー）</t>
    </r>
  </si>
  <si>
    <t xml:space="preserve">開発するプロダクトの品質・仕様・スケジュールを管理する</t>
  </si>
  <si>
    <t xml:space="preserve">仕様の決定／開発に必要な予算・人員の調整／スケジュール通りのリリース</t>
  </si>
  <si>
    <t xml:space="preserve">ディレクター</t>
  </si>
  <si>
    <t xml:space="preserve">チーム内メンバーを管理する</t>
  </si>
  <si>
    <r>
      <rPr>
        <sz val="10"/>
        <color rgb="FF000000"/>
        <rFont val="Noto Sans CJK SC"/>
        <family val="2"/>
        <charset val="1"/>
      </rPr>
      <t xml:space="preserve">メンバーへの指示・フォロー／進捗管理／問題解決／必要に応じて</t>
    </r>
    <r>
      <rPr>
        <sz val="10"/>
        <color rgb="FF000000"/>
        <rFont val="Yu Gothic"/>
        <family val="0"/>
        <charset val="1"/>
      </rPr>
      <t xml:space="preserve">PdM</t>
    </r>
    <r>
      <rPr>
        <sz val="10"/>
        <color rgb="FF000000"/>
        <rFont val="Noto Sans CJK SC"/>
        <family val="2"/>
        <charset val="1"/>
      </rPr>
      <t xml:space="preserve">へ報告</t>
    </r>
  </si>
  <si>
    <t xml:space="preserve">■ 自分のプロジェクトの体制図（記入欄）</t>
  </si>
  <si>
    <t xml:space="preserve">自分のプロジェクトでは誰がどの職種・役割を担うか、名前と担当範囲を記入しましょう</t>
  </si>
  <si>
    <t xml:space="preserve">職種／役割</t>
  </si>
  <si>
    <t xml:space="preserve">担当者名</t>
  </si>
  <si>
    <t xml:space="preserve">担当範囲・備考</t>
  </si>
  <si>
    <r>
      <rPr>
        <sz val="10"/>
        <color rgb="FF000000"/>
        <rFont val="Yu Gothic"/>
        <family val="0"/>
        <charset val="1"/>
      </rPr>
      <t xml:space="preserve">PM</t>
    </r>
    <r>
      <rPr>
        <sz val="10"/>
        <color rgb="FF000000"/>
        <rFont val="Noto Sans CJK SC"/>
        <family val="2"/>
        <charset val="1"/>
      </rPr>
      <t xml:space="preserve">（プロジェクトマネージャー）</t>
    </r>
  </si>
  <si>
    <r>
      <rPr>
        <sz val="10"/>
        <color rgb="FF000000"/>
        <rFont val="Yu Gothic"/>
        <family val="0"/>
        <charset val="1"/>
      </rPr>
      <t xml:space="preserve">PdM</t>
    </r>
    <r>
      <rPr>
        <sz val="10"/>
        <color rgb="FF000000"/>
        <rFont val="Noto Sans CJK SC"/>
        <family val="2"/>
        <charset val="1"/>
      </rPr>
      <t xml:space="preserve">（プロダクトマネージャー）</t>
    </r>
  </si>
  <si>
    <t xml:space="preserve">■ 体制図を考えるときの注意点</t>
  </si>
  <si>
    <r>
      <rPr>
        <i val="true"/>
        <sz val="9"/>
        <color rgb="FF333333"/>
        <rFont val="Noto Sans CJK SC"/>
        <family val="2"/>
        <charset val="1"/>
      </rPr>
      <t xml:space="preserve">・</t>
    </r>
    <r>
      <rPr>
        <i val="true"/>
        <sz val="9"/>
        <color rgb="FF333333"/>
        <rFont val="Yu Gothic"/>
        <family val="0"/>
        <charset val="1"/>
      </rPr>
      <t xml:space="preserve">IT</t>
    </r>
    <r>
      <rPr>
        <i val="true"/>
        <sz val="9"/>
        <color rgb="FF333333"/>
        <rFont val="Noto Sans CJK SC"/>
        <family val="2"/>
        <charset val="1"/>
      </rPr>
      <t xml:space="preserve">関連プロジェクトの体制図は企業やプロジェクトの規模によって異なり、職種の役割や呼び方が異なることもある</t>
    </r>
  </si>
  <si>
    <r>
      <rPr>
        <i val="true"/>
        <sz val="9"/>
        <color rgb="FF333333"/>
        <rFont val="Noto Sans CJK SC"/>
        <family val="2"/>
        <charset val="1"/>
      </rPr>
      <t xml:space="preserve">・</t>
    </r>
    <r>
      <rPr>
        <i val="true"/>
        <sz val="9"/>
        <color rgb="FF333333"/>
        <rFont val="Yu Gothic"/>
        <family val="0"/>
        <charset val="1"/>
      </rPr>
      <t xml:space="preserve">1</t>
    </r>
    <r>
      <rPr>
        <i val="true"/>
        <sz val="9"/>
        <color rgb="FF333333"/>
        <rFont val="Noto Sans CJK SC"/>
        <family val="2"/>
        <charset val="1"/>
      </rPr>
      <t xml:space="preserve">人が複数の役割を兼任するケースや、</t>
    </r>
    <r>
      <rPr>
        <i val="true"/>
        <sz val="9"/>
        <color rgb="FF333333"/>
        <rFont val="Yu Gothic"/>
        <family val="0"/>
        <charset val="1"/>
      </rPr>
      <t xml:space="preserve">1</t>
    </r>
    <r>
      <rPr>
        <i val="true"/>
        <sz val="9"/>
        <color rgb="FF333333"/>
        <rFont val="Noto Sans CJK SC"/>
        <family val="2"/>
        <charset val="1"/>
      </rPr>
      <t xml:space="preserve">つの役割を複数人で分担するケースもある</t>
    </r>
  </si>
  <si>
    <r>
      <rPr>
        <i val="true"/>
        <sz val="9"/>
        <color rgb="FF333333"/>
        <rFont val="Noto Sans CJK SC"/>
        <family val="2"/>
        <charset val="1"/>
      </rPr>
      <t xml:space="preserve">・</t>
    </r>
    <r>
      <rPr>
        <i val="true"/>
        <sz val="9"/>
        <color rgb="FF333333"/>
        <rFont val="Yu Gothic"/>
        <family val="0"/>
        <charset val="1"/>
      </rPr>
      <t xml:space="preserve">PM</t>
    </r>
    <r>
      <rPr>
        <i val="true"/>
        <sz val="9"/>
        <color rgb="FF333333"/>
        <rFont val="Noto Sans CJK SC"/>
        <family val="2"/>
        <charset val="1"/>
      </rPr>
      <t xml:space="preserve">（プロジェクトマネージャー）は複数のプロジェクトを統括することもある</t>
    </r>
  </si>
  <si>
    <t xml:space="preserve">②マインドセット・リーダーシップ</t>
  </si>
  <si>
    <r>
      <rPr>
        <i val="true"/>
        <sz val="10"/>
        <color rgb="FF595959"/>
        <rFont val="Noto Sans CJK SC"/>
        <family val="2"/>
        <charset val="1"/>
      </rPr>
      <t xml:space="preserve">マネージャーに必要なマインド・スキル・リーダーシップを自己点検する（</t>
    </r>
    <r>
      <rPr>
        <i val="true"/>
        <sz val="10"/>
        <color rgb="FF595959"/>
        <rFont val="Yu Gothic"/>
        <family val="0"/>
        <charset val="1"/>
      </rPr>
      <t xml:space="preserve">2</t>
    </r>
    <r>
      <rPr>
        <i val="true"/>
        <sz val="10"/>
        <color rgb="FF595959"/>
        <rFont val="Noto Sans CJK SC"/>
        <family val="2"/>
        <charset val="1"/>
      </rPr>
      <t xml:space="preserve">章）</t>
    </r>
  </si>
  <si>
    <r>
      <rPr>
        <b val="true"/>
        <sz val="11"/>
        <color rgb="FF1F4E78"/>
        <rFont val="Noto Sans CJK SC"/>
        <family val="2"/>
        <charset val="1"/>
      </rPr>
      <t xml:space="preserve">■ マネジメントに必要な</t>
    </r>
    <r>
      <rPr>
        <b val="true"/>
        <sz val="11"/>
        <color rgb="FF1F4E78"/>
        <rFont val="Yu Gothic"/>
        <family val="0"/>
        <charset val="1"/>
      </rPr>
      <t xml:space="preserve">4</t>
    </r>
    <r>
      <rPr>
        <b val="true"/>
        <sz val="11"/>
        <color rgb="FF1F4E78"/>
        <rFont val="Noto Sans CJK SC"/>
        <family val="2"/>
        <charset val="1"/>
      </rPr>
      <t xml:space="preserve">つのマインド（自己評価）</t>
    </r>
  </si>
  <si>
    <t xml:space="preserve">マインド</t>
  </si>
  <si>
    <t xml:space="preserve">説明</t>
  </si>
  <si>
    <t xml:space="preserve">自己評価</t>
  </si>
  <si>
    <t xml:space="preserve">改善したいこと（記入欄）</t>
  </si>
  <si>
    <t xml:space="preserve">プレイヤーからマネージャーへ</t>
  </si>
  <si>
    <t xml:space="preserve">指示や説明を受ける立場から、伝える立場になることを自覚する</t>
  </si>
  <si>
    <t xml:space="preserve">責任の変化</t>
  </si>
  <si>
    <t xml:space="preserve">プロジェクトやチームの結果に責任を負うことを自覚し、行動する</t>
  </si>
  <si>
    <t xml:space="preserve">経営視点も持つ</t>
  </si>
  <si>
    <t xml:space="preserve">担当プロジェクトやチームが他のチームや経営に与える影響を考えて行動する</t>
  </si>
  <si>
    <t xml:space="preserve">メンバーへ誠実にコミュニケーションする</t>
  </si>
  <si>
    <t xml:space="preserve">感謝の気持ちを持ちながら正直に接し、時には厳しく、時には自ら率先して動く</t>
  </si>
  <si>
    <r>
      <rPr>
        <b val="true"/>
        <sz val="11"/>
        <color rgb="FF1F4E78"/>
        <rFont val="Noto Sans CJK SC"/>
        <family val="2"/>
        <charset val="1"/>
      </rPr>
      <t xml:space="preserve">■ マネジメントに必要な</t>
    </r>
    <r>
      <rPr>
        <b val="true"/>
        <sz val="11"/>
        <color rgb="FF1F4E78"/>
        <rFont val="Yu Gothic"/>
        <family val="0"/>
        <charset val="1"/>
      </rPr>
      <t xml:space="preserve">5</t>
    </r>
    <r>
      <rPr>
        <b val="true"/>
        <sz val="11"/>
        <color rgb="FF1F4E78"/>
        <rFont val="Noto Sans CJK SC"/>
        <family val="2"/>
        <charset val="1"/>
      </rPr>
      <t xml:space="preserve">つのスキル（自己評価）</t>
    </r>
  </si>
  <si>
    <t xml:space="preserve">スキル</t>
  </si>
  <si>
    <t xml:space="preserve">伸ばすためのアクション（記入欄）</t>
  </si>
  <si>
    <t xml:space="preserve">コミュニケーション・スキル</t>
  </si>
  <si>
    <t xml:space="preserve">誠実なコミュニケーション、社内社外調整に必要な交渉力</t>
  </si>
  <si>
    <t xml:space="preserve">リーダーシップ</t>
  </si>
  <si>
    <t xml:space="preserve">メンバーと目標を共有し、チーム・プロジェクト一丸で進めるスキル</t>
  </si>
  <si>
    <t xml:space="preserve">意思決定力</t>
  </si>
  <si>
    <t xml:space="preserve">プロジェクトやチームが目標を達成できる・結果を出せる決断を下すスキル</t>
  </si>
  <si>
    <t xml:space="preserve">分析力・問題解決能力</t>
  </si>
  <si>
    <t xml:space="preserve">チーム・プロジェクト内の問題を分析し解決手段を導くスキル</t>
  </si>
  <si>
    <t xml:space="preserve">管理・計画能力</t>
  </si>
  <si>
    <t xml:space="preserve">予算計画やスケジュールを立てて計画通りに進めるスキル</t>
  </si>
  <si>
    <r>
      <rPr>
        <b val="true"/>
        <sz val="11"/>
        <color rgb="FF1F4E78"/>
        <rFont val="Noto Sans CJK SC"/>
        <family val="2"/>
        <charset val="1"/>
      </rPr>
      <t xml:space="preserve">■ リーダーシップの</t>
    </r>
    <r>
      <rPr>
        <b val="true"/>
        <sz val="11"/>
        <color rgb="FF1F4E78"/>
        <rFont val="Yu Gothic"/>
        <family val="0"/>
        <charset val="1"/>
      </rPr>
      <t xml:space="preserve">3</t>
    </r>
    <r>
      <rPr>
        <b val="true"/>
        <sz val="11"/>
        <color rgb="FF1F4E78"/>
        <rFont val="Noto Sans CJK SC"/>
        <family val="2"/>
        <charset val="1"/>
      </rPr>
      <t xml:space="preserve">要素</t>
    </r>
  </si>
  <si>
    <t xml:space="preserve">要素</t>
  </si>
  <si>
    <t xml:space="preserve">内容・自分のプロジェクトでの実践方法（記入欄）</t>
  </si>
  <si>
    <t xml:space="preserve">目標設定</t>
  </si>
  <si>
    <t xml:space="preserve">参考：メンバーひとりひとりにわかりやすく目標を知らせ、仲間意識やモチベーションを育てる</t>
  </si>
  <si>
    <t xml:space="preserve">率先垂範</t>
  </si>
  <si>
    <t xml:space="preserve">参考：マネージャーが最初に行動し、メンバーが自発的に行動しやすい状態をつくる</t>
  </si>
  <si>
    <t xml:space="preserve">相互支援</t>
  </si>
  <si>
    <t xml:space="preserve">参考：個性を活かせる役割分担や、相談・質問しやすい雰囲気づくりでメンバー同士の助け合いを促す</t>
  </si>
  <si>
    <t xml:space="preserve">■ コミュニケーションミーティングの企画</t>
  </si>
  <si>
    <t xml:space="preserve">ミーティング</t>
  </si>
  <si>
    <t xml:space="preserve">目的</t>
  </si>
  <si>
    <t xml:space="preserve">実施予定・記入欄</t>
  </si>
  <si>
    <t xml:space="preserve">キックオフ</t>
  </si>
  <si>
    <t xml:space="preserve">目標や役割分担を共有し、プロジェクト開始の士気を高める</t>
  </si>
  <si>
    <t xml:space="preserve">ウィンセッション</t>
  </si>
  <si>
    <t xml:space="preserve">できたことを共有して称え合い、モチベーションを高める</t>
  </si>
  <si>
    <r>
      <rPr>
        <i val="true"/>
        <sz val="10"/>
        <color rgb="FF595959"/>
        <rFont val="Noto Sans CJK SC"/>
        <family val="2"/>
        <charset val="1"/>
      </rPr>
      <t xml:space="preserve">プロジェクトの目的・ゴール・ステークホルダーを整理し、開始前後の抜け漏れを防ぐ（</t>
    </r>
    <r>
      <rPr>
        <i val="true"/>
        <sz val="10"/>
        <color rgb="FF595959"/>
        <rFont val="Yu Gothic"/>
        <family val="0"/>
        <charset val="1"/>
      </rPr>
      <t xml:space="preserve">3</t>
    </r>
    <r>
      <rPr>
        <i val="true"/>
        <sz val="10"/>
        <color rgb="FF595959"/>
        <rFont val="Noto Sans CJK SC"/>
        <family val="2"/>
        <charset val="1"/>
      </rPr>
      <t xml:space="preserve">章）</t>
    </r>
  </si>
  <si>
    <t xml:space="preserve">■ プロジェクト基本情報</t>
  </si>
  <si>
    <t xml:space="preserve">プロジェクト名</t>
  </si>
  <si>
    <t xml:space="preserve">プロジェクトの目的・目標</t>
  </si>
  <si>
    <t xml:space="preserve">最終期限</t>
  </si>
  <si>
    <t xml:space="preserve">ゴール（達成した時に実現するモノ・状態）</t>
  </si>
  <si>
    <t xml:space="preserve">■ ステークホルダー一覧</t>
  </si>
  <si>
    <t xml:space="preserve">ステークホルダー＝プロジェクトの結果に関心を持つ人々、プロジェクト運営で影響を受ける人々</t>
  </si>
  <si>
    <t xml:space="preserve">ステークホルダー</t>
  </si>
  <si>
    <t xml:space="preserve">関心事・期待するゴール</t>
  </si>
  <si>
    <t xml:space="preserve">確認状況</t>
  </si>
  <si>
    <t xml:space="preserve">例：経営陣</t>
  </si>
  <si>
    <t xml:space="preserve">例：クライアント担当者</t>
  </si>
  <si>
    <t xml:space="preserve">■ プロジェクト開始前チェックリスト</t>
  </si>
  <si>
    <t xml:space="preserve">チェック項目</t>
  </si>
  <si>
    <t xml:space="preserve">状態</t>
  </si>
  <si>
    <t xml:space="preserve">プロジェクトの目標・目的・期限を決めたか</t>
  </si>
  <si>
    <t xml:space="preserve">ゴールを設定し、ステークホルダーと確認したか</t>
  </si>
  <si>
    <t xml:space="preserve">どんな工程（タスク）があるか洗い出して確認したか</t>
  </si>
  <si>
    <t xml:space="preserve">どの工程を誰が担当するか、メンバーを割り当てたか</t>
  </si>
  <si>
    <t xml:space="preserve">各工程の期限を決めたか</t>
  </si>
  <si>
    <t xml:space="preserve">■ プロジェクト開始後の定期確認</t>
  </si>
  <si>
    <t xml:space="preserve">確認項目</t>
  </si>
  <si>
    <t xml:space="preserve">最終確認日</t>
  </si>
  <si>
    <t xml:space="preserve">各工程がスケジュール通りに進んでいるか（定期確認）</t>
  </si>
  <si>
    <t xml:space="preserve">何か問題は発生していないか（定期確認）</t>
  </si>
  <si>
    <r>
      <rPr>
        <b val="true"/>
        <sz val="16"/>
        <color rgb="FF1F4E78"/>
        <rFont val="Yu Gothic"/>
        <family val="0"/>
        <charset val="1"/>
      </rPr>
      <t xml:space="preserve">④WBS</t>
    </r>
    <r>
      <rPr>
        <b val="true"/>
        <sz val="16"/>
        <color rgb="FF1F4E78"/>
        <rFont val="Noto Sans CJK SC"/>
        <family val="2"/>
        <charset val="1"/>
      </rPr>
      <t xml:space="preserve">・要件定義</t>
    </r>
  </si>
  <si>
    <r>
      <rPr>
        <i val="true"/>
        <sz val="10"/>
        <color rgb="FF595959"/>
        <rFont val="Noto Sans CJK SC"/>
        <family val="2"/>
        <charset val="1"/>
      </rPr>
      <t xml:space="preserve">機能要件・非機能要件を洗い出し、工程をタスクに分解してスケジュール管理する（</t>
    </r>
    <r>
      <rPr>
        <i val="true"/>
        <sz val="10"/>
        <color rgb="FF595959"/>
        <rFont val="Yu Gothic"/>
        <family val="0"/>
        <charset val="1"/>
      </rPr>
      <t xml:space="preserve">4</t>
    </r>
    <r>
      <rPr>
        <i val="true"/>
        <sz val="10"/>
        <color rgb="FF595959"/>
        <rFont val="Noto Sans CJK SC"/>
        <family val="2"/>
        <charset val="1"/>
      </rPr>
      <t xml:space="preserve">章）</t>
    </r>
  </si>
  <si>
    <t xml:space="preserve">■ 要件の洗い出し（機能要件・非機能要件）</t>
  </si>
  <si>
    <t xml:space="preserve">機能要件＝実装する基本的な機能／非機能要件＝機能以外の満たすべき品質や基準（表示速度・セキュリティなど）</t>
  </si>
  <si>
    <t xml:space="preserve">区分</t>
  </si>
  <si>
    <t xml:space="preserve">内容（記入欄）</t>
  </si>
  <si>
    <t xml:space="preserve">機能要件</t>
  </si>
  <si>
    <t xml:space="preserve">例：ナビゲーションメニュー、サイト内検索、お問い合わせ機能、予約可能時間表示 など</t>
  </si>
  <si>
    <t xml:space="preserve">非機能要件</t>
  </si>
  <si>
    <t xml:space="preserve">例：トップページ表示時間、個人情報漏洩防止策、データベースの脆弱性対策 など</t>
  </si>
  <si>
    <r>
      <rPr>
        <b val="true"/>
        <sz val="11"/>
        <color rgb="FF1F4E78"/>
        <rFont val="Yu Gothic"/>
        <family val="0"/>
        <charset val="1"/>
      </rPr>
      <t xml:space="preserve">■ WBS</t>
    </r>
    <r>
      <rPr>
        <b val="true"/>
        <sz val="11"/>
        <color rgb="FF1F4E78"/>
        <rFont val="Noto Sans CJK SC"/>
        <family val="2"/>
        <charset val="1"/>
      </rPr>
      <t xml:space="preserve">（タスク一覧・スケジュール表）</t>
    </r>
  </si>
  <si>
    <t xml:space="preserve">「所要日数」は開始日・終了日を入力すると自動計算されます（数式入り・編集不要）</t>
  </si>
  <si>
    <t xml:space="preserve">工程</t>
  </si>
  <si>
    <t xml:space="preserve">タスク</t>
  </si>
  <si>
    <t xml:space="preserve">担当者</t>
  </si>
  <si>
    <t xml:space="preserve">開始日</t>
  </si>
  <si>
    <t xml:space="preserve">終了日</t>
  </si>
  <si>
    <t xml:space="preserve">所要日数</t>
  </si>
  <si>
    <t xml:space="preserve">要件定義</t>
  </si>
  <si>
    <t xml:space="preserve">クライアントへのヒアリング</t>
  </si>
  <si>
    <r>
      <rPr>
        <i val="true"/>
        <sz val="10"/>
        <color rgb="FF808080"/>
        <rFont val="Noto Sans CJK SC"/>
        <family val="2"/>
        <charset val="1"/>
      </rPr>
      <t xml:space="preserve">例：</t>
    </r>
    <r>
      <rPr>
        <i val="true"/>
        <sz val="10"/>
        <color rgb="FF808080"/>
        <rFont val="Yu Gothic"/>
        <family val="0"/>
        <charset val="1"/>
      </rPr>
      <t xml:space="preserve">PM</t>
    </r>
  </si>
  <si>
    <t xml:space="preserve">要件定義書の作成・承認</t>
  </si>
  <si>
    <t xml:space="preserve">システム設計</t>
  </si>
  <si>
    <t xml:space="preserve">使用する技術の選定</t>
  </si>
  <si>
    <t xml:space="preserve">例：エンジニア</t>
  </si>
  <si>
    <t xml:space="preserve">システム設計書の作成</t>
  </si>
  <si>
    <t xml:space="preserve">見積もり</t>
  </si>
  <si>
    <t xml:space="preserve">費用・開発期間の見積もり</t>
  </si>
  <si>
    <t xml:space="preserve">制作・開発</t>
  </si>
  <si>
    <t xml:space="preserve">デザイン制作</t>
  </si>
  <si>
    <t xml:space="preserve">例：デザイナー</t>
  </si>
  <si>
    <t xml:space="preserve">コーディング・機能開発</t>
  </si>
  <si>
    <t xml:space="preserve">テスト</t>
  </si>
  <si>
    <t xml:space="preserve">単体テスト・結合テスト</t>
  </si>
  <si>
    <t xml:space="preserve">受け入れテスト</t>
  </si>
  <si>
    <t xml:space="preserve">例：クライアント</t>
  </si>
  <si>
    <t xml:space="preserve">納品・公開</t>
  </si>
  <si>
    <t xml:space="preserve">本番環境構築・リリース</t>
  </si>
  <si>
    <r>
      <rPr>
        <b val="true"/>
        <sz val="11"/>
        <color rgb="FF1F4E78"/>
        <rFont val="Yu Gothic"/>
        <family val="0"/>
        <charset val="1"/>
      </rPr>
      <t xml:space="preserve">■ WBS</t>
    </r>
    <r>
      <rPr>
        <b val="true"/>
        <sz val="11"/>
        <color rgb="FF1F4E78"/>
        <rFont val="Noto Sans CJK SC"/>
        <family val="2"/>
        <charset val="1"/>
      </rPr>
      <t xml:space="preserve">とガントチャートの違い</t>
    </r>
  </si>
  <si>
    <r>
      <rPr>
        <i val="true"/>
        <sz val="9"/>
        <color rgb="FF595959"/>
        <rFont val="Yu Gothic"/>
        <family val="0"/>
        <charset val="1"/>
      </rPr>
      <t xml:space="preserve">WBS</t>
    </r>
    <r>
      <rPr>
        <i val="true"/>
        <sz val="9"/>
        <color rgb="FF595959"/>
        <rFont val="Noto Sans CJK SC"/>
        <family val="2"/>
        <charset val="1"/>
      </rPr>
      <t xml:space="preserve">で工程をタスクに分解し、その後ガントチャートで各タスクのスケジュール（開始日・終了日）を可視化する、という流れで使う</t>
    </r>
  </si>
  <si>
    <r>
      <rPr>
        <b val="true"/>
        <sz val="16"/>
        <color rgb="FF1F4E78"/>
        <rFont val="Yu Gothic"/>
        <family val="0"/>
        <charset val="1"/>
      </rPr>
      <t xml:space="preserve">⑤QCD</t>
    </r>
    <r>
      <rPr>
        <b val="true"/>
        <sz val="16"/>
        <color rgb="FF1F4E78"/>
        <rFont val="Noto Sans CJK SC"/>
        <family val="2"/>
        <charset val="1"/>
      </rPr>
      <t xml:space="preserve">・マイルストーン</t>
    </r>
  </si>
  <si>
    <r>
      <rPr>
        <i val="true"/>
        <sz val="10"/>
        <color rgb="FF595959"/>
        <rFont val="Noto Sans CJK SC"/>
        <family val="2"/>
        <charset val="1"/>
      </rPr>
      <t xml:space="preserve">品質・コスト・納期のバランスを検討し、マイルストーンとクリティカルパスを管理する（</t>
    </r>
    <r>
      <rPr>
        <i val="true"/>
        <sz val="10"/>
        <color rgb="FF595959"/>
        <rFont val="Yu Gothic"/>
        <family val="0"/>
        <charset val="1"/>
      </rPr>
      <t xml:space="preserve">5</t>
    </r>
    <r>
      <rPr>
        <i val="true"/>
        <sz val="10"/>
        <color rgb="FF595959"/>
        <rFont val="Noto Sans CJK SC"/>
        <family val="2"/>
        <charset val="1"/>
      </rPr>
      <t xml:space="preserve">章）</t>
    </r>
  </si>
  <si>
    <r>
      <rPr>
        <b val="true"/>
        <sz val="11"/>
        <color rgb="FF1F4E78"/>
        <rFont val="Yu Gothic"/>
        <family val="0"/>
        <charset val="1"/>
      </rPr>
      <t xml:space="preserve">■ QCD</t>
    </r>
    <r>
      <rPr>
        <b val="true"/>
        <sz val="11"/>
        <color rgb="FF1F4E78"/>
        <rFont val="Noto Sans CJK SC"/>
        <family val="2"/>
        <charset val="1"/>
      </rPr>
      <t xml:space="preserve">のトレードオフ関係</t>
    </r>
  </si>
  <si>
    <r>
      <rPr>
        <i val="true"/>
        <sz val="9"/>
        <color rgb="FF595959"/>
        <rFont val="Noto Sans CJK SC"/>
        <family val="2"/>
        <charset val="1"/>
      </rPr>
      <t xml:space="preserve">優先順位は</t>
    </r>
    <r>
      <rPr>
        <i val="true"/>
        <sz val="9"/>
        <color rgb="FF595959"/>
        <rFont val="Yu Gothic"/>
        <family val="0"/>
        <charset val="1"/>
      </rPr>
      <t xml:space="preserve">Q</t>
    </r>
    <r>
      <rPr>
        <i val="true"/>
        <sz val="9"/>
        <color rgb="FF595959"/>
        <rFont val="Noto Sans CJK SC"/>
        <family val="2"/>
        <charset val="1"/>
      </rPr>
      <t xml:space="preserve">（品質）＞</t>
    </r>
    <r>
      <rPr>
        <i val="true"/>
        <sz val="9"/>
        <color rgb="FF595959"/>
        <rFont val="Yu Gothic"/>
        <family val="0"/>
        <charset val="1"/>
      </rPr>
      <t xml:space="preserve">C</t>
    </r>
    <r>
      <rPr>
        <i val="true"/>
        <sz val="9"/>
        <color rgb="FF595959"/>
        <rFont val="Noto Sans CJK SC"/>
        <family val="2"/>
        <charset val="1"/>
      </rPr>
      <t xml:space="preserve">（コスト）＞</t>
    </r>
    <r>
      <rPr>
        <i val="true"/>
        <sz val="9"/>
        <color rgb="FF595959"/>
        <rFont val="Yu Gothic"/>
        <family val="0"/>
        <charset val="1"/>
      </rPr>
      <t xml:space="preserve">D</t>
    </r>
    <r>
      <rPr>
        <i val="true"/>
        <sz val="9"/>
        <color rgb="FF595959"/>
        <rFont val="Noto Sans CJK SC"/>
        <family val="2"/>
        <charset val="1"/>
      </rPr>
      <t xml:space="preserve">（納期）。</t>
    </r>
    <r>
      <rPr>
        <i val="true"/>
        <sz val="9"/>
        <color rgb="FF595959"/>
        <rFont val="Yu Gothic"/>
        <family val="0"/>
        <charset val="1"/>
      </rPr>
      <t xml:space="preserve">1</t>
    </r>
    <r>
      <rPr>
        <i val="true"/>
        <sz val="9"/>
        <color rgb="FF595959"/>
        <rFont val="Noto Sans CJK SC"/>
        <family val="2"/>
        <charset val="1"/>
      </rPr>
      <t xml:space="preserve">つを優先すると他の</t>
    </r>
    <r>
      <rPr>
        <i val="true"/>
        <sz val="9"/>
        <color rgb="FF595959"/>
        <rFont val="Yu Gothic"/>
        <family val="0"/>
        <charset val="1"/>
      </rPr>
      <t xml:space="preserve">2</t>
    </r>
    <r>
      <rPr>
        <i val="true"/>
        <sz val="9"/>
        <color rgb="FF595959"/>
        <rFont val="Noto Sans CJK SC"/>
        <family val="2"/>
        <charset val="1"/>
      </rPr>
      <t xml:space="preserve">つが犠牲になりやすい点に注意する</t>
    </r>
  </si>
  <si>
    <t xml:space="preserve">優先する項目</t>
  </si>
  <si>
    <t xml:space="preserve">起こりやすい影響</t>
  </si>
  <si>
    <r>
      <rPr>
        <b val="true"/>
        <sz val="10"/>
        <color rgb="FF000000"/>
        <rFont val="Yu Gothic"/>
        <family val="0"/>
        <charset val="1"/>
      </rPr>
      <t xml:space="preserve">Q</t>
    </r>
    <r>
      <rPr>
        <b val="true"/>
        <sz val="10"/>
        <color rgb="FF000000"/>
        <rFont val="Noto Sans CJK SC"/>
        <family val="2"/>
        <charset val="1"/>
      </rPr>
      <t xml:space="preserve">（クオリティ）を優先</t>
    </r>
  </si>
  <si>
    <r>
      <rPr>
        <sz val="10"/>
        <color rgb="FF000000"/>
        <rFont val="Noto Sans CJK SC"/>
        <family val="2"/>
        <charset val="1"/>
      </rPr>
      <t xml:space="preserve">テスト工程などに時間がかかり、</t>
    </r>
    <r>
      <rPr>
        <sz val="10"/>
        <color rgb="FF000000"/>
        <rFont val="Yu Gothic"/>
        <family val="0"/>
        <charset val="1"/>
      </rPr>
      <t xml:space="preserve">C</t>
    </r>
    <r>
      <rPr>
        <sz val="10"/>
        <color rgb="FF000000"/>
        <rFont val="Noto Sans CJK SC"/>
        <family val="2"/>
        <charset val="1"/>
      </rPr>
      <t xml:space="preserve">（コスト）は大きくなり、</t>
    </r>
    <r>
      <rPr>
        <sz val="10"/>
        <color rgb="FF000000"/>
        <rFont val="Yu Gothic"/>
        <family val="0"/>
        <charset val="1"/>
      </rPr>
      <t xml:space="preserve">D</t>
    </r>
    <r>
      <rPr>
        <sz val="10"/>
        <color rgb="FF000000"/>
        <rFont val="Noto Sans CJK SC"/>
        <family val="2"/>
        <charset val="1"/>
      </rPr>
      <t xml:space="preserve">（納期）も犠牲になりやすい</t>
    </r>
  </si>
  <si>
    <r>
      <rPr>
        <b val="true"/>
        <sz val="10"/>
        <color rgb="FF000000"/>
        <rFont val="Yu Gothic"/>
        <family val="0"/>
        <charset val="1"/>
      </rPr>
      <t xml:space="preserve">C</t>
    </r>
    <r>
      <rPr>
        <b val="true"/>
        <sz val="10"/>
        <color rgb="FF000000"/>
        <rFont val="Noto Sans CJK SC"/>
        <family val="2"/>
        <charset val="1"/>
      </rPr>
      <t xml:space="preserve">（コスト）を優先</t>
    </r>
  </si>
  <si>
    <r>
      <rPr>
        <sz val="10"/>
        <color rgb="FF000000"/>
        <rFont val="Noto Sans CJK SC"/>
        <family val="2"/>
        <charset val="1"/>
      </rPr>
      <t xml:space="preserve">十分なテスト期間を確保できず</t>
    </r>
    <r>
      <rPr>
        <sz val="10"/>
        <color rgb="FF000000"/>
        <rFont val="Yu Gothic"/>
        <family val="0"/>
        <charset val="1"/>
      </rPr>
      <t xml:space="preserve">Q</t>
    </r>
    <r>
      <rPr>
        <sz val="10"/>
        <color rgb="FF000000"/>
        <rFont val="Noto Sans CJK SC"/>
        <family val="2"/>
        <charset val="1"/>
      </rPr>
      <t xml:space="preserve">（クオリティ）が低下し、少人数対応で</t>
    </r>
    <r>
      <rPr>
        <sz val="10"/>
        <color rgb="FF000000"/>
        <rFont val="Yu Gothic"/>
        <family val="0"/>
        <charset val="1"/>
      </rPr>
      <t xml:space="preserve">D</t>
    </r>
    <r>
      <rPr>
        <sz val="10"/>
        <color rgb="FF000000"/>
        <rFont val="Noto Sans CJK SC"/>
        <family val="2"/>
        <charset val="1"/>
      </rPr>
      <t xml:space="preserve">（納期）も遵守しにくくなる</t>
    </r>
  </si>
  <si>
    <r>
      <rPr>
        <b val="true"/>
        <sz val="10"/>
        <color rgb="FF000000"/>
        <rFont val="Yu Gothic"/>
        <family val="0"/>
        <charset val="1"/>
      </rPr>
      <t xml:space="preserve">D</t>
    </r>
    <r>
      <rPr>
        <b val="true"/>
        <sz val="10"/>
        <color rgb="FF000000"/>
        <rFont val="Noto Sans CJK SC"/>
        <family val="2"/>
        <charset val="1"/>
      </rPr>
      <t xml:space="preserve">（デリバリー・納期）を優先</t>
    </r>
  </si>
  <si>
    <r>
      <rPr>
        <sz val="10"/>
        <color rgb="FF000000"/>
        <rFont val="Noto Sans CJK SC"/>
        <family val="2"/>
        <charset val="1"/>
      </rPr>
      <t xml:space="preserve">十分なテスト期間が取れず</t>
    </r>
    <r>
      <rPr>
        <sz val="10"/>
        <color rgb="FF000000"/>
        <rFont val="Yu Gothic"/>
        <family val="0"/>
        <charset val="1"/>
      </rPr>
      <t xml:space="preserve">Q</t>
    </r>
    <r>
      <rPr>
        <sz val="10"/>
        <color rgb="FF000000"/>
        <rFont val="Noto Sans CJK SC"/>
        <family val="2"/>
        <charset val="1"/>
      </rPr>
      <t xml:space="preserve">（クオリティ）が低下し、増員すれば</t>
    </r>
    <r>
      <rPr>
        <sz val="10"/>
        <color rgb="FF000000"/>
        <rFont val="Yu Gothic"/>
        <family val="0"/>
        <charset val="1"/>
      </rPr>
      <t xml:space="preserve">C</t>
    </r>
    <r>
      <rPr>
        <sz val="10"/>
        <color rgb="FF000000"/>
        <rFont val="Noto Sans CJK SC"/>
        <family val="2"/>
        <charset val="1"/>
      </rPr>
      <t xml:space="preserve">（コスト）がかかる</t>
    </r>
  </si>
  <si>
    <r>
      <rPr>
        <b val="true"/>
        <sz val="11"/>
        <color rgb="FF1F4E78"/>
        <rFont val="Noto Sans CJK SC"/>
        <family val="2"/>
        <charset val="1"/>
      </rPr>
      <t xml:space="preserve">■ 自分のプロジェクトの</t>
    </r>
    <r>
      <rPr>
        <b val="true"/>
        <sz val="11"/>
        <color rgb="FF1F4E78"/>
        <rFont val="Yu Gothic"/>
        <family val="0"/>
        <charset val="1"/>
      </rPr>
      <t xml:space="preserve">QCD</t>
    </r>
    <r>
      <rPr>
        <b val="true"/>
        <sz val="11"/>
        <color rgb="FF1F4E78"/>
        <rFont val="Noto Sans CJK SC"/>
        <family val="2"/>
        <charset val="1"/>
      </rPr>
      <t xml:space="preserve">検討（記入欄）</t>
    </r>
  </si>
  <si>
    <r>
      <rPr>
        <b val="true"/>
        <sz val="10"/>
        <color rgb="FF000000"/>
        <rFont val="Yu Gothic"/>
        <family val="0"/>
        <charset val="1"/>
      </rPr>
      <t xml:space="preserve">Q</t>
    </r>
    <r>
      <rPr>
        <b val="true"/>
        <sz val="10"/>
        <color rgb="FF000000"/>
        <rFont val="Noto Sans CJK SC"/>
        <family val="2"/>
        <charset val="1"/>
      </rPr>
      <t xml:space="preserve">：品質基準（数値化）</t>
    </r>
  </si>
  <si>
    <r>
      <rPr>
        <i val="true"/>
        <sz val="10"/>
        <color rgb="FF808080"/>
        <rFont val="Noto Sans CJK SC"/>
        <family val="2"/>
        <charset val="1"/>
      </rPr>
      <t xml:space="preserve">例：画面切り替え</t>
    </r>
    <r>
      <rPr>
        <i val="true"/>
        <sz val="10"/>
        <color rgb="FF808080"/>
        <rFont val="Yu Gothic"/>
        <family val="0"/>
        <charset val="1"/>
      </rPr>
      <t xml:space="preserve">2</t>
    </r>
    <r>
      <rPr>
        <i val="true"/>
        <sz val="10"/>
        <color rgb="FF808080"/>
        <rFont val="Noto Sans CJK SC"/>
        <family val="2"/>
        <charset val="1"/>
      </rPr>
      <t xml:space="preserve">秒以内、テストのバグ出現率〇件以下 など</t>
    </r>
  </si>
  <si>
    <r>
      <rPr>
        <b val="true"/>
        <sz val="10"/>
        <color rgb="FF000000"/>
        <rFont val="Yu Gothic"/>
        <family val="0"/>
        <charset val="1"/>
      </rPr>
      <t xml:space="preserve">C</t>
    </r>
    <r>
      <rPr>
        <b val="true"/>
        <sz val="10"/>
        <color rgb="FF000000"/>
        <rFont val="Noto Sans CJK SC"/>
        <family val="2"/>
        <charset val="1"/>
      </rPr>
      <t xml:space="preserve">：コストの上限・調整余地</t>
    </r>
  </si>
  <si>
    <r>
      <rPr>
        <b val="true"/>
        <sz val="10"/>
        <color rgb="FF000000"/>
        <rFont val="Yu Gothic"/>
        <family val="0"/>
        <charset val="1"/>
      </rPr>
      <t xml:space="preserve">D</t>
    </r>
    <r>
      <rPr>
        <b val="true"/>
        <sz val="10"/>
        <color rgb="FF000000"/>
        <rFont val="Noto Sans CJK SC"/>
        <family val="2"/>
        <charset val="1"/>
      </rPr>
      <t xml:space="preserve">：納期・調整余地</t>
    </r>
  </si>
  <si>
    <t xml:space="preserve">追加要望が出た場合、何を優先するか</t>
  </si>
  <si>
    <t xml:space="preserve">■ マイルストーン一覧</t>
  </si>
  <si>
    <t xml:space="preserve">マイルストーン＝工程やスケジュールの節目。進捗確認・振り返り・品質チェックのタイミングとして設定する</t>
  </si>
  <si>
    <t xml:space="preserve">マイルストーン名</t>
  </si>
  <si>
    <t xml:space="preserve">日付</t>
  </si>
  <si>
    <t xml:space="preserve">確認する内容</t>
  </si>
  <si>
    <t xml:space="preserve">例：要件定義完了</t>
  </si>
  <si>
    <t xml:space="preserve">例：デザインレビュー</t>
  </si>
  <si>
    <t xml:space="preserve">■ クリティカルパスの比較（複数経路の所要日数を自動集計）</t>
  </si>
  <si>
    <t xml:space="preserve">クリティカルパス＝スケジュールに最も影響が出る作業経路。合計日数が最も長い経路がクリティカルパスです</t>
  </si>
  <si>
    <t xml:space="preserve">経路名</t>
  </si>
  <si>
    <r>
      <rPr>
        <b val="true"/>
        <sz val="10"/>
        <color rgb="FF000000"/>
        <rFont val="Noto Sans CJK SC"/>
        <family val="2"/>
        <charset val="1"/>
      </rPr>
      <t xml:space="preserve">工程</t>
    </r>
    <r>
      <rPr>
        <b val="true"/>
        <sz val="10"/>
        <color rgb="FF000000"/>
        <rFont val="Yu Gothic"/>
        <family val="0"/>
        <charset val="1"/>
      </rPr>
      <t xml:space="preserve">1</t>
    </r>
  </si>
  <si>
    <r>
      <rPr>
        <b val="true"/>
        <sz val="10"/>
        <color rgb="FF000000"/>
        <rFont val="Noto Sans CJK SC"/>
        <family val="2"/>
        <charset val="1"/>
      </rPr>
      <t xml:space="preserve">工程</t>
    </r>
    <r>
      <rPr>
        <b val="true"/>
        <sz val="10"/>
        <color rgb="FF000000"/>
        <rFont val="Yu Gothic"/>
        <family val="0"/>
        <charset val="1"/>
      </rPr>
      <t xml:space="preserve">2</t>
    </r>
  </si>
  <si>
    <r>
      <rPr>
        <b val="true"/>
        <sz val="10"/>
        <color rgb="FF000000"/>
        <rFont val="Noto Sans CJK SC"/>
        <family val="2"/>
        <charset val="1"/>
      </rPr>
      <t xml:space="preserve">工程</t>
    </r>
    <r>
      <rPr>
        <b val="true"/>
        <sz val="10"/>
        <color rgb="FF000000"/>
        <rFont val="Yu Gothic"/>
        <family val="0"/>
        <charset val="1"/>
      </rPr>
      <t xml:space="preserve">3</t>
    </r>
  </si>
  <si>
    <r>
      <rPr>
        <b val="true"/>
        <sz val="10"/>
        <color rgb="FF000000"/>
        <rFont val="Noto Sans CJK SC"/>
        <family val="2"/>
        <charset val="1"/>
      </rPr>
      <t xml:space="preserve">工程</t>
    </r>
    <r>
      <rPr>
        <b val="true"/>
        <sz val="10"/>
        <color rgb="FF000000"/>
        <rFont val="Yu Gothic"/>
        <family val="0"/>
        <charset val="1"/>
      </rPr>
      <t xml:space="preserve">4</t>
    </r>
  </si>
  <si>
    <t xml:space="preserve">合計日数</t>
  </si>
  <si>
    <r>
      <rPr>
        <b val="true"/>
        <sz val="10"/>
        <color rgb="FF000000"/>
        <rFont val="Noto Sans CJK SC"/>
        <family val="2"/>
        <charset val="1"/>
      </rPr>
      <t xml:space="preserve">経路</t>
    </r>
    <r>
      <rPr>
        <b val="true"/>
        <sz val="10"/>
        <color rgb="FF000000"/>
        <rFont val="Yu Gothic"/>
        <family val="0"/>
        <charset val="1"/>
      </rPr>
      <t xml:space="preserve">A</t>
    </r>
  </si>
  <si>
    <r>
      <rPr>
        <b val="true"/>
        <sz val="10"/>
        <color rgb="FF000000"/>
        <rFont val="Noto Sans CJK SC"/>
        <family val="2"/>
        <charset val="1"/>
      </rPr>
      <t xml:space="preserve">経路</t>
    </r>
    <r>
      <rPr>
        <b val="true"/>
        <sz val="10"/>
        <color rgb="FF000000"/>
        <rFont val="Yu Gothic"/>
        <family val="0"/>
        <charset val="1"/>
      </rPr>
      <t xml:space="preserve">B</t>
    </r>
  </si>
  <si>
    <r>
      <rPr>
        <b val="true"/>
        <sz val="16"/>
        <color rgb="FF1F4E78"/>
        <rFont val="Yu Gothic"/>
        <family val="0"/>
        <charset val="1"/>
      </rPr>
      <t xml:space="preserve">⑥PERT</t>
    </r>
    <r>
      <rPr>
        <b val="true"/>
        <sz val="16"/>
        <color rgb="FF1F4E78"/>
        <rFont val="Noto Sans CJK SC"/>
        <family val="2"/>
        <charset val="1"/>
      </rPr>
      <t xml:space="preserve">法見積もり</t>
    </r>
  </si>
  <si>
    <r>
      <rPr>
        <i val="true"/>
        <sz val="10"/>
        <color rgb="FF595959"/>
        <rFont val="Noto Sans CJK SC"/>
        <family val="2"/>
        <charset val="1"/>
      </rPr>
      <t xml:space="preserve">楽観値・標準値・悲観値から期待値を自動計算し、人件費・開発費を試算する（</t>
    </r>
    <r>
      <rPr>
        <i val="true"/>
        <sz val="10"/>
        <color rgb="FF595959"/>
        <rFont val="Yu Gothic"/>
        <family val="0"/>
        <charset val="1"/>
      </rPr>
      <t xml:space="preserve">6</t>
    </r>
    <r>
      <rPr>
        <i val="true"/>
        <sz val="10"/>
        <color rgb="FF595959"/>
        <rFont val="Noto Sans CJK SC"/>
        <family val="2"/>
        <charset val="1"/>
      </rPr>
      <t xml:space="preserve">章）</t>
    </r>
  </si>
  <si>
    <r>
      <rPr>
        <b val="true"/>
        <sz val="11"/>
        <color rgb="FF1F4E78"/>
        <rFont val="Yu Gothic"/>
        <family val="0"/>
        <charset val="1"/>
      </rPr>
      <t xml:space="preserve">■ PERT</t>
    </r>
    <r>
      <rPr>
        <b val="true"/>
        <sz val="11"/>
        <color rgb="FF1F4E78"/>
        <rFont val="Noto Sans CJK SC"/>
        <family val="2"/>
        <charset val="1"/>
      </rPr>
      <t xml:space="preserve">法とは</t>
    </r>
  </si>
  <si>
    <r>
      <rPr>
        <i val="true"/>
        <sz val="9"/>
        <color rgb="FF595959"/>
        <rFont val="Noto Sans CJK SC"/>
        <family val="2"/>
        <charset val="1"/>
      </rPr>
      <t xml:space="preserve">期待値＝（楽観値＋標準値</t>
    </r>
    <r>
      <rPr>
        <i val="true"/>
        <sz val="9"/>
        <color rgb="FF595959"/>
        <rFont val="Yu Gothic"/>
        <family val="0"/>
        <charset val="1"/>
      </rPr>
      <t xml:space="preserve">×4</t>
    </r>
    <r>
      <rPr>
        <i val="true"/>
        <sz val="9"/>
        <color rgb="FF595959"/>
        <rFont val="Noto Sans CJK SC"/>
        <family val="2"/>
        <charset val="1"/>
      </rPr>
      <t xml:space="preserve">＋悲観値）</t>
    </r>
    <r>
      <rPr>
        <i val="true"/>
        <sz val="9"/>
        <color rgb="FF595959"/>
        <rFont val="Yu Gothic"/>
        <family val="0"/>
        <charset val="1"/>
      </rPr>
      <t xml:space="preserve">÷6 </t>
    </r>
    <r>
      <rPr>
        <i val="true"/>
        <sz val="9"/>
        <color rgb="FF595959"/>
        <rFont val="Noto Sans CJK SC"/>
        <family val="2"/>
        <charset val="1"/>
      </rPr>
      <t xml:space="preserve">　※標準値・楽観値・悲観値のみで見積もり精度を改善できる手法</t>
    </r>
  </si>
  <si>
    <r>
      <rPr>
        <b val="true"/>
        <sz val="11"/>
        <color rgb="FF1F4E78"/>
        <rFont val="Yu Gothic"/>
        <family val="0"/>
        <charset val="1"/>
      </rPr>
      <t xml:space="preserve">■ PERT</t>
    </r>
    <r>
      <rPr>
        <b val="true"/>
        <sz val="11"/>
        <color rgb="FF1F4E78"/>
        <rFont val="Noto Sans CJK SC"/>
        <family val="2"/>
        <charset val="1"/>
      </rPr>
      <t xml:space="preserve">期待値計算表（所要日数・費用など汎用）</t>
    </r>
  </si>
  <si>
    <t xml:space="preserve">見積もり対象（工程・タスク名）</t>
  </si>
  <si>
    <t xml:space="preserve">楽観値</t>
  </si>
  <si>
    <t xml:space="preserve">標準値</t>
  </si>
  <si>
    <t xml:space="preserve">悲観値</t>
  </si>
  <si>
    <t xml:space="preserve">期待値（自動計算）</t>
  </si>
  <si>
    <t xml:space="preserve">単位（記入）</t>
  </si>
  <si>
    <t xml:space="preserve">例：要件定義</t>
  </si>
  <si>
    <t xml:space="preserve">例：日</t>
  </si>
  <si>
    <t xml:space="preserve">例：デザイン</t>
  </si>
  <si>
    <t xml:space="preserve">例：制作・開発</t>
  </si>
  <si>
    <t xml:space="preserve">■ 人件費の見積もり</t>
  </si>
  <si>
    <r>
      <rPr>
        <i val="true"/>
        <sz val="9"/>
        <color rgb="FF595959"/>
        <rFont val="Noto Sans CJK SC"/>
        <family val="2"/>
        <charset val="1"/>
      </rPr>
      <t xml:space="preserve">人件費＝人数</t>
    </r>
    <r>
      <rPr>
        <i val="true"/>
        <sz val="9"/>
        <color rgb="FF595959"/>
        <rFont val="Yu Gothic"/>
        <family val="0"/>
        <charset val="1"/>
      </rPr>
      <t xml:space="preserve">×</t>
    </r>
    <r>
      <rPr>
        <i val="true"/>
        <sz val="9"/>
        <color rgb="FF595959"/>
        <rFont val="Noto Sans CJK SC"/>
        <family val="2"/>
        <charset val="1"/>
      </rPr>
      <t xml:space="preserve">稼働日数</t>
    </r>
    <r>
      <rPr>
        <i val="true"/>
        <sz val="9"/>
        <color rgb="FF595959"/>
        <rFont val="Yu Gothic"/>
        <family val="0"/>
        <charset val="1"/>
      </rPr>
      <t xml:space="preserve">×</t>
    </r>
    <r>
      <rPr>
        <i val="true"/>
        <sz val="9"/>
        <color rgb="FF595959"/>
        <rFont val="Noto Sans CJK SC"/>
        <family val="2"/>
        <charset val="1"/>
      </rPr>
      <t xml:space="preserve">日額単価　（稼働日数は上の期待値を参考に入力してください）</t>
    </r>
  </si>
  <si>
    <t xml:space="preserve">人数</t>
  </si>
  <si>
    <t xml:space="preserve">稼働日数</t>
  </si>
  <si>
    <t xml:space="preserve">日額単価（円）</t>
  </si>
  <si>
    <t xml:space="preserve">人件費（自動計算）</t>
  </si>
  <si>
    <t xml:space="preserve">プロジェクトマネージャー</t>
  </si>
  <si>
    <t xml:space="preserve">エンジニア</t>
  </si>
  <si>
    <t xml:space="preserve">デザイナー</t>
  </si>
  <si>
    <t xml:space="preserve">人件費 合計</t>
  </si>
  <si>
    <t xml:space="preserve">■ 開発費・運用保守費の一覧（区分ごとに自動集計）</t>
  </si>
  <si>
    <t xml:space="preserve">項目</t>
  </si>
  <si>
    <t xml:space="preserve">金額（円）</t>
  </si>
  <si>
    <t xml:space="preserve">例：サーバー・ネットワーク費用</t>
  </si>
  <si>
    <t xml:space="preserve">開発費</t>
  </si>
  <si>
    <r>
      <rPr>
        <i val="true"/>
        <sz val="10"/>
        <color rgb="FF808080"/>
        <rFont val="Noto Sans CJK SC"/>
        <family val="2"/>
        <charset val="1"/>
      </rPr>
      <t xml:space="preserve">例：</t>
    </r>
    <r>
      <rPr>
        <i val="true"/>
        <sz val="10"/>
        <color rgb="FF808080"/>
        <rFont val="Yu Gothic"/>
        <family val="0"/>
        <charset val="1"/>
      </rPr>
      <t xml:space="preserve">WordPress</t>
    </r>
    <r>
      <rPr>
        <i val="true"/>
        <sz val="10"/>
        <color rgb="FF808080"/>
        <rFont val="Noto Sans CJK SC"/>
        <family val="2"/>
        <charset val="1"/>
      </rPr>
      <t xml:space="preserve">テーマ・プラグイン費用</t>
    </r>
  </si>
  <si>
    <t xml:space="preserve">例：プラグインアップデート対応費用</t>
  </si>
  <si>
    <t xml:space="preserve">運用保守費</t>
  </si>
  <si>
    <t xml:space="preserve">例：定期バックアップ・保守費用</t>
  </si>
  <si>
    <r>
      <rPr>
        <b val="true"/>
        <sz val="10"/>
        <color rgb="FF000000"/>
        <rFont val="Noto Sans CJK SC"/>
        <family val="2"/>
        <charset val="1"/>
      </rPr>
      <t xml:space="preserve">開発費 合計（区分＝開発費の</t>
    </r>
    <r>
      <rPr>
        <b val="true"/>
        <sz val="10"/>
        <color rgb="FF000000"/>
        <rFont val="Yu Gothic"/>
        <family val="0"/>
        <charset val="1"/>
      </rPr>
      <t xml:space="preserve">SUMIF</t>
    </r>
    <r>
      <rPr>
        <b val="true"/>
        <sz val="10"/>
        <color rgb="FF000000"/>
        <rFont val="Noto Sans CJK SC"/>
        <family val="2"/>
        <charset val="1"/>
      </rPr>
      <t xml:space="preserve">）</t>
    </r>
  </si>
  <si>
    <r>
      <rPr>
        <b val="true"/>
        <sz val="10"/>
        <color rgb="FF000000"/>
        <rFont val="Noto Sans CJK SC"/>
        <family val="2"/>
        <charset val="1"/>
      </rPr>
      <t xml:space="preserve">運用保守費 合計（区分＝運用保守費の</t>
    </r>
    <r>
      <rPr>
        <b val="true"/>
        <sz val="10"/>
        <color rgb="FF000000"/>
        <rFont val="Yu Gothic"/>
        <family val="0"/>
        <charset val="1"/>
      </rPr>
      <t xml:space="preserve">SUMIF</t>
    </r>
    <r>
      <rPr>
        <b val="true"/>
        <sz val="10"/>
        <color rgb="FF000000"/>
        <rFont val="Noto Sans CJK SC"/>
        <family val="2"/>
        <charset val="1"/>
      </rPr>
      <t xml:space="preserve">）</t>
    </r>
  </si>
  <si>
    <t xml:space="preserve">■ 見積もり総合計</t>
  </si>
  <si>
    <t xml:space="preserve">総見積もり＝人件費＋開発費＋運用保守費</t>
  </si>
  <si>
    <r>
      <rPr>
        <i val="true"/>
        <sz val="10"/>
        <color rgb="FF595959"/>
        <rFont val="Yu Gothic"/>
        <family val="0"/>
        <charset val="1"/>
      </rPr>
      <t xml:space="preserve">4</t>
    </r>
    <r>
      <rPr>
        <i val="true"/>
        <sz val="10"/>
        <color rgb="FF595959"/>
        <rFont val="Noto Sans CJK SC"/>
        <family val="2"/>
        <charset val="1"/>
      </rPr>
      <t xml:space="preserve">カテゴリのリスクを洗い出し、発生確率</t>
    </r>
    <r>
      <rPr>
        <i val="true"/>
        <sz val="10"/>
        <color rgb="FF595959"/>
        <rFont val="Yu Gothic"/>
        <family val="0"/>
        <charset val="1"/>
      </rPr>
      <t xml:space="preserve">×</t>
    </r>
    <r>
      <rPr>
        <i val="true"/>
        <sz val="10"/>
        <color rgb="FF595959"/>
        <rFont val="Noto Sans CJK SC"/>
        <family val="2"/>
        <charset val="1"/>
      </rPr>
      <t xml:space="preserve">影響度でリスクスコアを自動計算する（</t>
    </r>
    <r>
      <rPr>
        <i val="true"/>
        <sz val="10"/>
        <color rgb="FF595959"/>
        <rFont val="Yu Gothic"/>
        <family val="0"/>
        <charset val="1"/>
      </rPr>
      <t xml:space="preserve">7</t>
    </r>
    <r>
      <rPr>
        <i val="true"/>
        <sz val="10"/>
        <color rgb="FF595959"/>
        <rFont val="Noto Sans CJK SC"/>
        <family val="2"/>
        <charset val="1"/>
      </rPr>
      <t xml:space="preserve">章）</t>
    </r>
  </si>
  <si>
    <t xml:space="preserve">■ リスクマネジメントとは</t>
  </si>
  <si>
    <t xml:space="preserve">プロジェクトに損失をもたらす可能性のある事象を発生前に洗い出して対策を施す、または発生時の対応策をあらかじめ決めておくこと</t>
  </si>
  <si>
    <r>
      <rPr>
        <b val="true"/>
        <sz val="11"/>
        <color rgb="FF1F4E78"/>
        <rFont val="Noto Sans CJK SC"/>
        <family val="2"/>
        <charset val="1"/>
      </rPr>
      <t xml:space="preserve">■ リスク一覧（発生確率</t>
    </r>
    <r>
      <rPr>
        <b val="true"/>
        <sz val="11"/>
        <color rgb="FF1F4E78"/>
        <rFont val="Yu Gothic"/>
        <family val="0"/>
        <charset val="1"/>
      </rPr>
      <t xml:space="preserve">×</t>
    </r>
    <r>
      <rPr>
        <b val="true"/>
        <sz val="11"/>
        <color rgb="FF1F4E78"/>
        <rFont val="Noto Sans CJK SC"/>
        <family val="2"/>
        <charset val="1"/>
      </rPr>
      <t xml:space="preserve">影響度でリスクスコアを自動計算）</t>
    </r>
  </si>
  <si>
    <r>
      <rPr>
        <i val="true"/>
        <sz val="9"/>
        <color rgb="FF595959"/>
        <rFont val="Noto Sans CJK SC"/>
        <family val="2"/>
        <charset val="1"/>
      </rPr>
      <t xml:space="preserve">発生確率・影響度を「高・中・低」で選ぶと、リスクスコア（最大</t>
    </r>
    <r>
      <rPr>
        <i val="true"/>
        <sz val="9"/>
        <color rgb="FF595959"/>
        <rFont val="Yu Gothic"/>
        <family val="0"/>
        <charset val="1"/>
      </rPr>
      <t xml:space="preserve">9</t>
    </r>
    <r>
      <rPr>
        <i val="true"/>
        <sz val="9"/>
        <color rgb="FF595959"/>
        <rFont val="Noto Sans CJK SC"/>
        <family val="2"/>
        <charset val="1"/>
      </rPr>
      <t xml:space="preserve">）が自動計算されます。スコアが高いリスクほど優先的に対策しましょう</t>
    </r>
  </si>
  <si>
    <t xml:space="preserve">カテゴリ</t>
  </si>
  <si>
    <t xml:space="preserve">リスクの内容</t>
  </si>
  <si>
    <t xml:space="preserve">発生確率</t>
  </si>
  <si>
    <t xml:space="preserve">影響度</t>
  </si>
  <si>
    <t xml:space="preserve">リスクスコア</t>
  </si>
  <si>
    <t xml:space="preserve">対策（対応策）</t>
  </si>
  <si>
    <t xml:space="preserve">システム・情報管理</t>
  </si>
  <si>
    <t xml:space="preserve">システム障害によるデータの消失</t>
  </si>
  <si>
    <t xml:space="preserve">機密情報・顧客情報の漏洩</t>
  </si>
  <si>
    <t xml:space="preserve">費用・スケジュール</t>
  </si>
  <si>
    <t xml:space="preserve">従量課金の料金が想定よりも増えた</t>
  </si>
  <si>
    <t xml:space="preserve">想定以上に大幅に開発工数や費用が増えた</t>
  </si>
  <si>
    <t xml:space="preserve">コンプライアンス</t>
  </si>
  <si>
    <t xml:space="preserve">アカウントの貸し借り</t>
  </si>
  <si>
    <t xml:space="preserve">人に関するリスク</t>
  </si>
  <si>
    <t xml:space="preserve">人員の退職・離脱</t>
  </si>
  <si>
    <t xml:space="preserve">怪我・病気によるメンバーの離脱</t>
  </si>
  <si>
    <t xml:space="preserve">■ 対策の方向性（参考）</t>
  </si>
  <si>
    <t xml:space="preserve">方向性</t>
  </si>
  <si>
    <t xml:space="preserve">リスクを回避する努力</t>
  </si>
  <si>
    <t xml:space="preserve">発生確率そのものを下げるための事前対策（例：バックアップの分散保管、利用規約の周知）</t>
  </si>
  <si>
    <t xml:space="preserve">迅速に対応するための努力</t>
  </si>
  <si>
    <t xml:space="preserve">早期発見のための仕組み（例：料金の定期チェック、誠実なコミュニケーション）</t>
  </si>
  <si>
    <t xml:space="preserve">あらかじめ対応策を策定</t>
  </si>
  <si>
    <t xml:space="preserve">発生時にすぐ動けるよう、事前に対応方法や予算を決めておくこと</t>
  </si>
  <si>
    <t xml:space="preserve">⑧コミュニケーション・チーム</t>
  </si>
  <si>
    <r>
      <rPr>
        <i val="true"/>
        <sz val="10"/>
        <color rgb="FF595959"/>
        <rFont val="Noto Sans CJK SC"/>
        <family val="2"/>
        <charset val="1"/>
      </rPr>
      <t xml:space="preserve">円滑なコミュニケーション、チームビルディング、コンフリクトマネジメントを実践する（</t>
    </r>
    <r>
      <rPr>
        <i val="true"/>
        <sz val="10"/>
        <color rgb="FF595959"/>
        <rFont val="Yu Gothic"/>
        <family val="0"/>
        <charset val="1"/>
      </rPr>
      <t xml:space="preserve">8</t>
    </r>
    <r>
      <rPr>
        <i val="true"/>
        <sz val="10"/>
        <color rgb="FF595959"/>
        <rFont val="Noto Sans CJK SC"/>
        <family val="2"/>
        <charset val="1"/>
      </rPr>
      <t xml:space="preserve">章）</t>
    </r>
  </si>
  <si>
    <r>
      <rPr>
        <b val="true"/>
        <sz val="11"/>
        <color rgb="FF1F4E78"/>
        <rFont val="Noto Sans CJK SC"/>
        <family val="2"/>
        <charset val="1"/>
      </rPr>
      <t xml:space="preserve">■ 効果的なコミュニケーションの</t>
    </r>
    <r>
      <rPr>
        <b val="true"/>
        <sz val="11"/>
        <color rgb="FF1F4E78"/>
        <rFont val="Yu Gothic"/>
        <family val="0"/>
        <charset val="1"/>
      </rPr>
      <t xml:space="preserve">4</t>
    </r>
    <r>
      <rPr>
        <b val="true"/>
        <sz val="11"/>
        <color rgb="FF1F4E78"/>
        <rFont val="Noto Sans CJK SC"/>
        <family val="2"/>
        <charset val="1"/>
      </rPr>
      <t xml:space="preserve">つのポイント（実践チェック）</t>
    </r>
  </si>
  <si>
    <t xml:space="preserve">ポイント</t>
  </si>
  <si>
    <t xml:space="preserve">実践状況</t>
  </si>
  <si>
    <t xml:space="preserve">具体的な工夫（記入欄）</t>
  </si>
  <si>
    <t xml:space="preserve">相手を尊重するコミュニケーションを意識する</t>
  </si>
  <si>
    <t xml:space="preserve">意識的に情報共有する</t>
  </si>
  <si>
    <t xml:space="preserve">発言者が偏らないように相互配慮する</t>
  </si>
  <si>
    <t xml:space="preserve">結論から始めて論理的に説明する</t>
  </si>
  <si>
    <t xml:space="preserve">■ チームビルディングの実施計画</t>
  </si>
  <si>
    <t xml:space="preserve">手法</t>
  </si>
  <si>
    <t xml:space="preserve">実施予定日</t>
  </si>
  <si>
    <t xml:space="preserve">ワークショップ・研修</t>
  </si>
  <si>
    <t xml:space="preserve">体験型プログラムで相互理解・共感力・信頼関係を育む</t>
  </si>
  <si>
    <t xml:space="preserve">プロジェクトルール策定</t>
  </si>
  <si>
    <t xml:space="preserve">運用ルール作りにメンバー自身が参画し、当事者意識を高める</t>
  </si>
  <si>
    <t xml:space="preserve">キックオフミーティング</t>
  </si>
  <si>
    <t xml:space="preserve">全員参加で目標や役割分担を共有し、共通のスタートラインに立つ</t>
  </si>
  <si>
    <t xml:space="preserve">■ コンフリクト（対立）の記録・解消シート</t>
  </si>
  <si>
    <t xml:space="preserve">対立は完全には避けられません。感情をぶつけるのではなく、事情をオープンにした「大人の建設的な対話」で解消しましょう</t>
  </si>
  <si>
    <t xml:space="preserve">発生日</t>
  </si>
  <si>
    <t xml:space="preserve">対立の内容・原因</t>
  </si>
  <si>
    <t xml:space="preserve">対応・解消策</t>
  </si>
  <si>
    <t xml:space="preserve">対立の主な原因：コミュニケーション不足／優先順位やスケジュールのズレ／価値観の違い／個人的な感情や人間関係の不和</t>
  </si>
</sst>
</file>

<file path=xl/styles.xml><?xml version="1.0" encoding="utf-8"?>
<styleSheet xmlns="http://schemas.openxmlformats.org/spreadsheetml/2006/main">
  <numFmts count="7">
    <numFmt numFmtId="164" formatCode="General"/>
    <numFmt numFmtId="165" formatCode="yyyy/mm/dd"/>
    <numFmt numFmtId="166" formatCode="mm/dd"/>
    <numFmt numFmtId="167" formatCode="General"/>
    <numFmt numFmtId="168" formatCode="0\日"/>
    <numFmt numFmtId="169" formatCode="0.0"/>
    <numFmt numFmtId="170" formatCode="#,##0\円"/>
  </numFmts>
  <fonts count="21">
    <font>
      <sz val="11"/>
      <color theme="1"/>
      <name val="Calibri"/>
      <family val="2"/>
      <charset val="1"/>
    </font>
    <font>
      <sz val="10"/>
      <name val="Arial"/>
      <family val="0"/>
    </font>
    <font>
      <sz val="10"/>
      <name val="Arial"/>
      <family val="0"/>
    </font>
    <font>
      <sz val="10"/>
      <name val="Arial"/>
      <family val="0"/>
    </font>
    <font>
      <b val="true"/>
      <sz val="16"/>
      <color rgb="FF1F4E78"/>
      <name val="Noto Sans CJK SC"/>
      <family val="2"/>
      <charset val="1"/>
    </font>
    <font>
      <i val="true"/>
      <sz val="10"/>
      <color rgb="FF595959"/>
      <name val="Noto Sans CJK SC"/>
      <family val="2"/>
      <charset val="1"/>
    </font>
    <font>
      <i val="true"/>
      <sz val="10"/>
      <color rgb="FF595959"/>
      <name val="Yu Gothic"/>
      <family val="0"/>
      <charset val="1"/>
    </font>
    <font>
      <b val="true"/>
      <sz val="11"/>
      <color rgb="FF1F4E78"/>
      <name val="Noto Sans CJK SC"/>
      <family val="2"/>
      <charset val="1"/>
    </font>
    <font>
      <sz val="10"/>
      <color rgb="FF000000"/>
      <name val="Noto Sans CJK SC"/>
      <family val="2"/>
      <charset val="1"/>
    </font>
    <font>
      <sz val="10"/>
      <color rgb="FF000000"/>
      <name val="Yu Gothic"/>
      <family val="0"/>
      <charset val="1"/>
    </font>
    <font>
      <b val="true"/>
      <sz val="10"/>
      <color rgb="FF000000"/>
      <name val="Yu Gothic"/>
      <family val="0"/>
      <charset val="1"/>
    </font>
    <font>
      <b val="true"/>
      <sz val="10"/>
      <color rgb="FF000000"/>
      <name val="Noto Sans CJK SC"/>
      <family val="2"/>
      <charset val="1"/>
    </font>
    <font>
      <i val="true"/>
      <sz val="9"/>
      <color rgb="FF333333"/>
      <name val="Yu Gothic"/>
      <family val="0"/>
      <charset val="1"/>
    </font>
    <font>
      <i val="true"/>
      <sz val="9"/>
      <color rgb="FF333333"/>
      <name val="Noto Sans CJK SC"/>
      <family val="2"/>
      <charset val="1"/>
    </font>
    <font>
      <b val="true"/>
      <sz val="11"/>
      <color rgb="FF1F4E78"/>
      <name val="Yu Gothic"/>
      <family val="0"/>
      <charset val="1"/>
    </font>
    <font>
      <i val="true"/>
      <sz val="9"/>
      <color rgb="FF595959"/>
      <name val="Noto Sans CJK SC"/>
      <family val="2"/>
      <charset val="1"/>
    </font>
    <font>
      <i val="true"/>
      <sz val="10"/>
      <color rgb="FF808080"/>
      <name val="Noto Sans CJK SC"/>
      <family val="2"/>
      <charset val="1"/>
    </font>
    <font>
      <b val="true"/>
      <sz val="16"/>
      <color rgb="FF1F4E78"/>
      <name val="Yu Gothic"/>
      <family val="0"/>
      <charset val="1"/>
    </font>
    <font>
      <i val="true"/>
      <sz val="10"/>
      <color rgb="FF808080"/>
      <name val="Yu Gothic"/>
      <family val="0"/>
      <charset val="1"/>
    </font>
    <font>
      <b val="true"/>
      <sz val="10"/>
      <color rgb="FF1F4E78"/>
      <name val="Yu Gothic"/>
      <family val="0"/>
      <charset val="1"/>
    </font>
    <font>
      <i val="true"/>
      <sz val="9"/>
      <color rgb="FF595959"/>
      <name val="Yu Gothic"/>
      <family val="0"/>
      <charset val="1"/>
    </font>
  </fonts>
  <fills count="6">
    <fill>
      <patternFill patternType="none"/>
    </fill>
    <fill>
      <patternFill patternType="gray125"/>
    </fill>
    <fill>
      <patternFill patternType="solid">
        <fgColor rgb="FFD9E6F2"/>
        <bgColor rgb="FFEDEDED"/>
      </patternFill>
    </fill>
    <fill>
      <patternFill patternType="solid">
        <fgColor rgb="FFEDEDED"/>
        <bgColor rgb="FFEAF1F8"/>
      </patternFill>
    </fill>
    <fill>
      <patternFill patternType="solid">
        <fgColor rgb="FFEAF1F8"/>
        <bgColor rgb="FFEDEDED"/>
      </patternFill>
    </fill>
    <fill>
      <patternFill patternType="solid">
        <fgColor rgb="FFFFF9CC"/>
        <bgColor rgb="FFEDEDED"/>
      </patternFill>
    </fill>
  </fills>
  <borders count="3">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7B7B7"/>
      </left>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left" vertical="center"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7" fillId="2" borderId="0" xfId="0" applyFont="true" applyBorder="true" applyAlignment="true" applyProtection="true">
      <alignment horizontal="left" vertical="center" textRotation="0" wrapText="false" indent="1" shrinkToFit="false"/>
      <protection locked="true" hidden="false"/>
    </xf>
    <xf numFmtId="164" fontId="8" fillId="0" borderId="0" xfId="0" applyFont="true" applyBorder="true" applyAlignment="true" applyProtection="true">
      <alignment horizontal="left" vertical="top" textRotation="0" wrapText="true" indent="0" shrinkToFit="false"/>
      <protection locked="true" hidden="false"/>
    </xf>
    <xf numFmtId="164" fontId="10" fillId="3" borderId="1" xfId="0" applyFont="true" applyBorder="true" applyAlignment="true" applyProtection="true">
      <alignment horizontal="center" vertical="center" textRotation="0" wrapText="true" indent="0" shrinkToFit="false"/>
      <protection locked="true" hidden="false"/>
    </xf>
    <xf numFmtId="164" fontId="11" fillId="3" borderId="1" xfId="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left" vertical="top" textRotation="0" wrapText="true" indent="0" shrinkToFit="false"/>
      <protection locked="true" hidden="false"/>
    </xf>
    <xf numFmtId="164" fontId="8" fillId="0" borderId="1" xfId="0" applyFont="true" applyBorder="true" applyAlignment="true" applyProtection="true">
      <alignment horizontal="left" vertical="top" textRotation="0" wrapText="true" indent="0" shrinkToFit="false"/>
      <protection locked="true" hidden="false"/>
    </xf>
    <xf numFmtId="164" fontId="0" fillId="4" borderId="1" xfId="0" applyFont="fals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general" vertical="center" textRotation="0" wrapText="false" indent="0" shrinkToFit="false"/>
      <protection locked="true" hidden="false"/>
    </xf>
    <xf numFmtId="164" fontId="12" fillId="0" borderId="0" xfId="0" applyFont="true" applyBorder="true" applyAlignment="true" applyProtection="true">
      <alignment horizontal="left" vertical="top" textRotation="0" wrapText="true" indent="0" shrinkToFit="false"/>
      <protection locked="true" hidden="false"/>
    </xf>
    <xf numFmtId="164" fontId="10" fillId="0" borderId="1" xfId="0" applyFont="true" applyBorder="true" applyAlignment="true" applyProtection="true">
      <alignment horizontal="left" vertical="top" textRotation="0" wrapText="true" indent="0" shrinkToFit="false"/>
      <protection locked="true" hidden="false"/>
    </xf>
    <xf numFmtId="164" fontId="11" fillId="0" borderId="1" xfId="0" applyFont="true" applyBorder="true" applyAlignment="true" applyProtection="true">
      <alignment horizontal="left" vertical="top" textRotation="0" wrapText="true" indent="0" shrinkToFit="false"/>
      <protection locked="true" hidden="false"/>
    </xf>
    <xf numFmtId="164" fontId="15" fillId="0" borderId="0" xfId="0" applyFont="true" applyBorder="true" applyAlignment="true" applyProtection="true">
      <alignment horizontal="left" vertical="top" textRotation="0" wrapText="true" indent="0" shrinkToFit="false"/>
      <protection locked="true" hidden="false"/>
    </xf>
    <xf numFmtId="164" fontId="9" fillId="5" borderId="1" xfId="0" applyFont="true" applyBorder="true" applyAlignment="true" applyProtection="true">
      <alignment horizontal="left" vertical="top" textRotation="0" wrapText="true" indent="0" shrinkToFit="false"/>
      <protection locked="true" hidden="false"/>
    </xf>
    <xf numFmtId="164" fontId="13" fillId="0" borderId="0" xfId="0" applyFont="true" applyBorder="true" applyAlignment="true" applyProtection="true">
      <alignment horizontal="left" vertical="top" textRotation="0" wrapText="true" indent="0" shrinkToFit="false"/>
      <protection locked="true" hidden="false"/>
    </xf>
    <xf numFmtId="164" fontId="9" fillId="5" borderId="1" xfId="0" applyFont="true" applyBorder="true" applyAlignment="true" applyProtection="true">
      <alignment horizontal="center" vertical="center" textRotation="0" wrapText="false" indent="0" shrinkToFit="false"/>
      <protection locked="true" hidden="false"/>
    </xf>
    <xf numFmtId="164" fontId="16" fillId="5" borderId="2" xfId="0" applyFont="true" applyBorder="true" applyAlignment="true" applyProtection="true">
      <alignment horizontal="left" vertical="top" textRotation="0" wrapText="true" indent="0" shrinkToFit="false"/>
      <protection locked="true" hidden="false"/>
    </xf>
    <xf numFmtId="164" fontId="9" fillId="5" borderId="2" xfId="0" applyFont="true" applyBorder="true" applyAlignment="true" applyProtection="true">
      <alignment horizontal="left" vertical="top" textRotation="0" wrapText="true" indent="0" shrinkToFit="false"/>
      <protection locked="true" hidden="false"/>
    </xf>
    <xf numFmtId="165" fontId="9" fillId="5" borderId="2" xfId="0" applyFont="true" applyBorder="true" applyAlignment="true" applyProtection="true">
      <alignment horizontal="left" vertical="top" textRotation="0" wrapText="true" indent="0" shrinkToFit="false"/>
      <protection locked="true" hidden="false"/>
    </xf>
    <xf numFmtId="164" fontId="16" fillId="0" borderId="1" xfId="0" applyFont="true" applyBorder="true" applyAlignment="true" applyProtection="true">
      <alignment horizontal="left" vertical="top" textRotation="0" wrapText="true" indent="0" shrinkToFit="false"/>
      <protection locked="true" hidden="false"/>
    </xf>
    <xf numFmtId="164" fontId="8" fillId="0" borderId="2" xfId="0" applyFont="true" applyBorder="true" applyAlignment="true" applyProtection="true">
      <alignment horizontal="left" vertical="top" textRotation="0" wrapText="true" indent="0" shrinkToFit="false"/>
      <protection locked="true" hidden="false"/>
    </xf>
    <xf numFmtId="165" fontId="9" fillId="5" borderId="1" xfId="0" applyFont="true" applyBorder="true" applyAlignment="true" applyProtection="true">
      <alignment horizontal="center" vertical="center" textRotation="0" wrapText="false" indent="0" shrinkToFit="false"/>
      <protection locked="true" hidden="false"/>
    </xf>
    <xf numFmtId="164" fontId="17" fillId="0" borderId="0" xfId="0" applyFont="true" applyBorder="true" applyAlignment="true" applyProtection="true">
      <alignment horizontal="left" vertical="center" textRotation="0" wrapText="false" indent="0" shrinkToFit="false"/>
      <protection locked="true" hidden="false"/>
    </xf>
    <xf numFmtId="164" fontId="11" fillId="0" borderId="2" xfId="0" applyFont="true" applyBorder="true" applyAlignment="true" applyProtection="true">
      <alignment horizontal="center" vertical="center" textRotation="0" wrapText="true" indent="0" shrinkToFit="false"/>
      <protection locked="true" hidden="false"/>
    </xf>
    <xf numFmtId="164" fontId="14" fillId="2" borderId="0" xfId="0" applyFont="true" applyBorder="true" applyAlignment="true" applyProtection="true">
      <alignment horizontal="left" vertical="center" textRotation="0" wrapText="false" indent="1" shrinkToFit="false"/>
      <protection locked="true" hidden="false"/>
    </xf>
    <xf numFmtId="164" fontId="16" fillId="5" borderId="1" xfId="0" applyFont="true" applyBorder="true" applyAlignment="true" applyProtection="true">
      <alignment horizontal="left" vertical="top" textRotation="0" wrapText="true" indent="0" shrinkToFit="false"/>
      <protection locked="true" hidden="false"/>
    </xf>
    <xf numFmtId="166" fontId="9" fillId="5" borderId="1" xfId="0" applyFont="true" applyBorder="true" applyAlignment="true" applyProtection="true">
      <alignment horizontal="center" vertical="center" textRotation="0" wrapText="false" indent="0" shrinkToFit="false"/>
      <protection locked="true" hidden="false"/>
    </xf>
    <xf numFmtId="167" fontId="19" fillId="4" borderId="1" xfId="0" applyFont="true" applyBorder="true" applyAlignment="true" applyProtection="true">
      <alignment horizontal="center" vertical="center" textRotation="0" wrapText="false" indent="0" shrinkToFit="false"/>
      <protection locked="true" hidden="false"/>
    </xf>
    <xf numFmtId="164" fontId="20" fillId="0" borderId="0" xfId="0" applyFont="true" applyBorder="true" applyAlignment="true" applyProtection="true">
      <alignment horizontal="left" vertical="top" textRotation="0" wrapText="true" indent="0" shrinkToFit="false"/>
      <protection locked="true" hidden="false"/>
    </xf>
    <xf numFmtId="168" fontId="9" fillId="5" borderId="1" xfId="0" applyFont="true" applyBorder="true" applyAlignment="true" applyProtection="true">
      <alignment horizontal="center" vertical="center" textRotation="0" wrapText="false" indent="0" shrinkToFit="false"/>
      <protection locked="true" hidden="false"/>
    </xf>
    <xf numFmtId="168" fontId="19" fillId="4" borderId="1" xfId="0" applyFont="true" applyBorder="true" applyAlignment="true" applyProtection="true">
      <alignment horizontal="center" vertical="center" textRotation="0" wrapText="false" indent="0" shrinkToFit="false"/>
      <protection locked="true" hidden="false"/>
    </xf>
    <xf numFmtId="169" fontId="19" fillId="4" borderId="1" xfId="0" applyFont="true" applyBorder="true" applyAlignment="true" applyProtection="true">
      <alignment horizontal="center" vertical="center" textRotation="0" wrapText="false" indent="0" shrinkToFit="false"/>
      <protection locked="true" hidden="false"/>
    </xf>
    <xf numFmtId="164" fontId="16" fillId="5" borderId="1" xfId="0" applyFont="true" applyBorder="true" applyAlignment="true" applyProtection="true">
      <alignment horizontal="center" vertical="center" textRotation="0" wrapText="false" indent="0" shrinkToFit="false"/>
      <protection locked="true" hidden="false"/>
    </xf>
    <xf numFmtId="164" fontId="8" fillId="5" borderId="1" xfId="0" applyFont="true" applyBorder="true" applyAlignment="true" applyProtection="true">
      <alignment horizontal="center" vertical="center" textRotation="0" wrapText="false" indent="0" shrinkToFit="false"/>
      <protection locked="true" hidden="false"/>
    </xf>
    <xf numFmtId="170" fontId="9" fillId="5" borderId="2" xfId="0" applyFont="true" applyBorder="true" applyAlignment="true" applyProtection="true">
      <alignment horizontal="center" vertical="center" textRotation="0" wrapText="false" indent="0" shrinkToFit="false"/>
      <protection locked="true" hidden="false"/>
    </xf>
    <xf numFmtId="170" fontId="19" fillId="4" borderId="1"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16" fillId="0" borderId="2" xfId="0" applyFont="true" applyBorder="true" applyAlignment="true" applyProtection="true">
      <alignment horizontal="left" vertical="top" textRotation="0" wrapText="true" indent="0" shrinkToFit="false"/>
      <protection locked="true" hidden="false"/>
    </xf>
    <xf numFmtId="164" fontId="9" fillId="0" borderId="2" xfId="0" applyFont="true" applyBorder="true" applyAlignment="true" applyProtection="true">
      <alignment horizontal="left" vertical="top" textRotation="0" wrapText="true" indent="0" shrinkToFit="false"/>
      <protection locked="true" hidden="false"/>
    </xf>
    <xf numFmtId="170" fontId="19" fillId="4" borderId="2" xfId="0" applyFont="true" applyBorder="true" applyAlignment="true" applyProtection="true">
      <alignment horizontal="center" vertical="center"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AF1F8"/>
      <rgbColor rgb="FFC00000"/>
      <rgbColor rgb="FF00FF00"/>
      <rgbColor rgb="FF0000FF"/>
      <rgbColor rgb="FFFFFF00"/>
      <rgbColor rgb="FFFF00FF"/>
      <rgbColor rgb="FF00FFFF"/>
      <rgbColor rgb="FF800000"/>
      <rgbColor rgb="FF008000"/>
      <rgbColor rgb="FF000080"/>
      <rgbColor rgb="FF548235"/>
      <rgbColor rgb="FF800080"/>
      <rgbColor rgb="FF008080"/>
      <rgbColor rgb="FFB7B7B7"/>
      <rgbColor rgb="FF808080"/>
      <rgbColor rgb="FF9999FF"/>
      <rgbColor rgb="FF993366"/>
      <rgbColor rgb="FFFFF9CC"/>
      <rgbColor rgb="FFD9E6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DED"/>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D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2"/>
    <col collapsed="false" customWidth="true" hidden="false" outlineLevel="0" max="3" min="3" style="1" width="60"/>
    <col collapsed="false" customWidth="true" hidden="false" outlineLevel="0" max="4" min="4" style="1" width="20"/>
  </cols>
  <sheetData>
    <row r="1" customFormat="false" ht="30" hidden="false" customHeight="true" outlineLevel="0" collapsed="false">
      <c r="A1" s="2" t="s">
        <v>0</v>
      </c>
      <c r="B1" s="2"/>
      <c r="C1" s="2"/>
      <c r="D1" s="2"/>
    </row>
    <row r="2" customFormat="false" ht="18" hidden="false" customHeight="true" outlineLevel="0" collapsed="false">
      <c r="A2" s="3" t="s">
        <v>1</v>
      </c>
      <c r="B2" s="3"/>
      <c r="C2" s="3"/>
      <c r="D2" s="3"/>
    </row>
    <row r="4" customFormat="false" ht="21.75" hidden="false" customHeight="true" outlineLevel="0" collapsed="false">
      <c r="A4" s="4" t="s">
        <v>2</v>
      </c>
      <c r="B4" s="4"/>
      <c r="C4" s="4"/>
      <c r="D4" s="4"/>
    </row>
    <row r="5" customFormat="false" ht="79.5" hidden="false" customHeight="true" outlineLevel="0" collapsed="false">
      <c r="A5" s="5" t="s">
        <v>3</v>
      </c>
      <c r="B5" s="5"/>
      <c r="C5" s="5"/>
      <c r="D5" s="5"/>
    </row>
    <row r="6" customFormat="false" ht="15" hidden="false" customHeight="false" outlineLevel="0" collapsed="false">
      <c r="A6" s="5"/>
      <c r="B6" s="5"/>
      <c r="C6" s="5"/>
      <c r="D6" s="5"/>
    </row>
    <row r="7" customFormat="false" ht="15" hidden="false" customHeight="false" outlineLevel="0" collapsed="false">
      <c r="A7" s="5"/>
      <c r="B7" s="5"/>
      <c r="C7" s="5"/>
      <c r="D7" s="5"/>
    </row>
    <row r="9" customFormat="false" ht="21.75" hidden="false" customHeight="true" outlineLevel="0" collapsed="false">
      <c r="A9" s="4" t="s">
        <v>4</v>
      </c>
      <c r="B9" s="4"/>
      <c r="C9" s="4"/>
      <c r="D9" s="4"/>
    </row>
    <row r="10" customFormat="false" ht="19.5" hidden="false" customHeight="true" outlineLevel="0" collapsed="false">
      <c r="A10" s="6" t="s">
        <v>5</v>
      </c>
      <c r="B10" s="7" t="s">
        <v>6</v>
      </c>
      <c r="C10" s="7" t="s">
        <v>7</v>
      </c>
      <c r="D10" s="7" t="s">
        <v>8</v>
      </c>
    </row>
    <row r="11" customFormat="false" ht="33.75" hidden="false" customHeight="true" outlineLevel="0" collapsed="false">
      <c r="A11" s="8" t="s">
        <v>9</v>
      </c>
      <c r="B11" s="9" t="s">
        <v>10</v>
      </c>
      <c r="C11" s="8" t="s">
        <v>11</v>
      </c>
      <c r="D11" s="8" t="s">
        <v>12</v>
      </c>
    </row>
    <row r="12" customFormat="false" ht="33.75" hidden="false" customHeight="true" outlineLevel="0" collapsed="false">
      <c r="A12" s="8" t="s">
        <v>13</v>
      </c>
      <c r="B12" s="9" t="s">
        <v>14</v>
      </c>
      <c r="C12" s="9" t="s">
        <v>15</v>
      </c>
      <c r="D12" s="8" t="s">
        <v>16</v>
      </c>
    </row>
    <row r="13" customFormat="false" ht="33.75" hidden="false" customHeight="true" outlineLevel="0" collapsed="false">
      <c r="A13" s="8" t="s">
        <v>17</v>
      </c>
      <c r="B13" s="9" t="s">
        <v>18</v>
      </c>
      <c r="C13" s="9" t="s">
        <v>19</v>
      </c>
      <c r="D13" s="8" t="s">
        <v>20</v>
      </c>
    </row>
    <row r="14" customFormat="false" ht="33.75" hidden="false" customHeight="true" outlineLevel="0" collapsed="false">
      <c r="A14" s="8" t="s">
        <v>21</v>
      </c>
      <c r="B14" s="8" t="s">
        <v>22</v>
      </c>
      <c r="C14" s="9" t="s">
        <v>23</v>
      </c>
      <c r="D14" s="8" t="s">
        <v>24</v>
      </c>
    </row>
    <row r="15" customFormat="false" ht="33.75" hidden="false" customHeight="true" outlineLevel="0" collapsed="false">
      <c r="A15" s="8" t="s">
        <v>25</v>
      </c>
      <c r="B15" s="8" t="s">
        <v>26</v>
      </c>
      <c r="C15" s="8" t="s">
        <v>27</v>
      </c>
      <c r="D15" s="8" t="s">
        <v>28</v>
      </c>
    </row>
    <row r="16" customFormat="false" ht="33.75" hidden="false" customHeight="true" outlineLevel="0" collapsed="false">
      <c r="A16" s="8" t="s">
        <v>29</v>
      </c>
      <c r="B16" s="8" t="s">
        <v>30</v>
      </c>
      <c r="C16" s="9" t="s">
        <v>31</v>
      </c>
      <c r="D16" s="8" t="s">
        <v>32</v>
      </c>
    </row>
    <row r="17" customFormat="false" ht="33.75" hidden="false" customHeight="true" outlineLevel="0" collapsed="false">
      <c r="A17" s="8" t="s">
        <v>33</v>
      </c>
      <c r="B17" s="9" t="s">
        <v>34</v>
      </c>
      <c r="C17" s="8" t="s">
        <v>35</v>
      </c>
      <c r="D17" s="8" t="s">
        <v>36</v>
      </c>
    </row>
    <row r="18" customFormat="false" ht="33.75" hidden="false" customHeight="true" outlineLevel="0" collapsed="false">
      <c r="A18" s="8" t="s">
        <v>37</v>
      </c>
      <c r="B18" s="9" t="s">
        <v>38</v>
      </c>
      <c r="C18" s="9" t="s">
        <v>39</v>
      </c>
      <c r="D18" s="8" t="s">
        <v>40</v>
      </c>
    </row>
    <row r="20" customFormat="false" ht="21.75" hidden="false" customHeight="true" outlineLevel="0" collapsed="false">
      <c r="A20" s="4" t="s">
        <v>41</v>
      </c>
      <c r="B20" s="4"/>
      <c r="C20" s="4"/>
      <c r="D20" s="4"/>
    </row>
    <row r="21" customFormat="false" ht="19.5" hidden="false" customHeight="true" outlineLevel="0" collapsed="false">
      <c r="A21" s="10"/>
      <c r="B21" s="11" t="s">
        <v>42</v>
      </c>
      <c r="C21" s="9" t="s">
        <v>43</v>
      </c>
      <c r="D21" s="9"/>
    </row>
    <row r="22" customFormat="false" ht="21.75" hidden="false" customHeight="true" outlineLevel="0" collapsed="false">
      <c r="A22" s="4" t="s">
        <v>44</v>
      </c>
      <c r="B22" s="4"/>
      <c r="C22" s="4"/>
      <c r="D22" s="4"/>
    </row>
    <row r="23" customFormat="false" ht="15.75" hidden="false" customHeight="true" outlineLevel="0" collapsed="false">
      <c r="A23" s="12" t="s">
        <v>45</v>
      </c>
      <c r="B23" s="12"/>
      <c r="C23" s="12"/>
      <c r="D23" s="12"/>
    </row>
    <row r="24" customFormat="false" ht="15.75" hidden="false" customHeight="true" outlineLevel="0" collapsed="false">
      <c r="A24" s="12" t="s">
        <v>46</v>
      </c>
      <c r="B24" s="12"/>
      <c r="C24" s="12"/>
      <c r="D24" s="12"/>
    </row>
    <row r="25" customFormat="false" ht="15.75" hidden="false" customHeight="true" outlineLevel="0" collapsed="false">
      <c r="A25" s="12" t="s">
        <v>47</v>
      </c>
      <c r="B25" s="12"/>
      <c r="C25" s="12"/>
      <c r="D25" s="12"/>
    </row>
    <row r="26" customFormat="false" ht="15.75" hidden="false" customHeight="true" outlineLevel="0" collapsed="false">
      <c r="A26" s="12" t="s">
        <v>48</v>
      </c>
      <c r="B26" s="12"/>
      <c r="C26" s="12"/>
      <c r="D26" s="12"/>
    </row>
    <row r="27" customFormat="false" ht="15.75" hidden="false" customHeight="true" outlineLevel="0" collapsed="false">
      <c r="A27" s="12" t="s">
        <v>49</v>
      </c>
      <c r="B27" s="12"/>
      <c r="C27" s="12"/>
      <c r="D27" s="12"/>
    </row>
    <row r="28" customFormat="false" ht="15.75" hidden="false" customHeight="true" outlineLevel="0" collapsed="false">
      <c r="A28" s="12" t="s">
        <v>50</v>
      </c>
      <c r="B28" s="12"/>
      <c r="C28" s="12"/>
      <c r="D28" s="12"/>
    </row>
  </sheetData>
  <mergeCells count="14">
    <mergeCell ref="A1:D1"/>
    <mergeCell ref="A2:D2"/>
    <mergeCell ref="A4:D4"/>
    <mergeCell ref="A5:D7"/>
    <mergeCell ref="A9:D9"/>
    <mergeCell ref="A20:D20"/>
    <mergeCell ref="C21:D21"/>
    <mergeCell ref="A22:D22"/>
    <mergeCell ref="A23:D23"/>
    <mergeCell ref="A24:D24"/>
    <mergeCell ref="A25:D25"/>
    <mergeCell ref="A26:D26"/>
    <mergeCell ref="A27:D27"/>
    <mergeCell ref="A28:D2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C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3" min="2" style="1" width="44"/>
  </cols>
  <sheetData>
    <row r="1" customFormat="false" ht="30" hidden="false" customHeight="true" outlineLevel="0" collapsed="false">
      <c r="A1" s="2" t="s">
        <v>51</v>
      </c>
      <c r="B1" s="2"/>
      <c r="C1" s="2"/>
    </row>
    <row r="2" customFormat="false" ht="18" hidden="false" customHeight="true" outlineLevel="0" collapsed="false">
      <c r="A2" s="3" t="s">
        <v>52</v>
      </c>
      <c r="B2" s="3"/>
      <c r="C2" s="3"/>
    </row>
    <row r="4" customFormat="false" ht="21.75" hidden="false" customHeight="true" outlineLevel="0" collapsed="false">
      <c r="A4" s="4" t="s">
        <v>53</v>
      </c>
      <c r="B4" s="4"/>
      <c r="C4" s="4"/>
    </row>
    <row r="5" customFormat="false" ht="19.5" hidden="false" customHeight="true" outlineLevel="0" collapsed="false">
      <c r="A5" s="7" t="s">
        <v>54</v>
      </c>
      <c r="B5" s="7" t="s">
        <v>55</v>
      </c>
      <c r="C5" s="7" t="s">
        <v>56</v>
      </c>
    </row>
    <row r="6" customFormat="false" ht="39.75" hidden="false" customHeight="true" outlineLevel="0" collapsed="false">
      <c r="A6" s="13" t="s">
        <v>57</v>
      </c>
      <c r="B6" s="9" t="s">
        <v>58</v>
      </c>
      <c r="C6" s="9" t="s">
        <v>59</v>
      </c>
    </row>
    <row r="7" customFormat="false" ht="39.75" hidden="false" customHeight="true" outlineLevel="0" collapsed="false">
      <c r="A7" s="13" t="s">
        <v>60</v>
      </c>
      <c r="B7" s="9" t="s">
        <v>61</v>
      </c>
      <c r="C7" s="9" t="s">
        <v>62</v>
      </c>
    </row>
    <row r="8" customFormat="false" ht="39.75" hidden="false" customHeight="true" outlineLevel="0" collapsed="false">
      <c r="A8" s="14" t="s">
        <v>63</v>
      </c>
      <c r="B8" s="9" t="s">
        <v>64</v>
      </c>
      <c r="C8" s="9" t="s">
        <v>65</v>
      </c>
    </row>
    <row r="10" customFormat="false" ht="21.75" hidden="false" customHeight="true" outlineLevel="0" collapsed="false">
      <c r="A10" s="4" t="s">
        <v>66</v>
      </c>
      <c r="B10" s="4"/>
      <c r="C10" s="4"/>
    </row>
    <row r="11" customFormat="false" ht="15" hidden="false" customHeight="true" outlineLevel="0" collapsed="false">
      <c r="A11" s="15" t="s">
        <v>67</v>
      </c>
      <c r="B11" s="15"/>
      <c r="C11" s="15"/>
    </row>
    <row r="12" customFormat="false" ht="19.5" hidden="false" customHeight="true" outlineLevel="0" collapsed="false">
      <c r="A12" s="7" t="s">
        <v>68</v>
      </c>
      <c r="B12" s="7" t="s">
        <v>69</v>
      </c>
      <c r="C12" s="7" t="s">
        <v>70</v>
      </c>
    </row>
    <row r="13" customFormat="false" ht="24" hidden="false" customHeight="true" outlineLevel="0" collapsed="false">
      <c r="A13" s="8" t="s">
        <v>71</v>
      </c>
      <c r="B13" s="16"/>
      <c r="C13" s="16"/>
    </row>
    <row r="14" customFormat="false" ht="24" hidden="false" customHeight="true" outlineLevel="0" collapsed="false">
      <c r="A14" s="8" t="s">
        <v>72</v>
      </c>
      <c r="B14" s="16"/>
      <c r="C14" s="16"/>
    </row>
    <row r="15" customFormat="false" ht="24" hidden="false" customHeight="true" outlineLevel="0" collapsed="false">
      <c r="A15" s="9" t="s">
        <v>63</v>
      </c>
      <c r="B15" s="16"/>
      <c r="C15" s="16"/>
    </row>
    <row r="16" customFormat="false" ht="24" hidden="false" customHeight="true" outlineLevel="0" collapsed="false">
      <c r="A16" s="9"/>
      <c r="B16" s="16"/>
      <c r="C16" s="16"/>
    </row>
    <row r="17" customFormat="false" ht="24" hidden="false" customHeight="true" outlineLevel="0" collapsed="false">
      <c r="A17" s="9"/>
      <c r="B17" s="16"/>
      <c r="C17" s="16"/>
    </row>
    <row r="19" customFormat="false" ht="21.75" hidden="false" customHeight="true" outlineLevel="0" collapsed="false">
      <c r="A19" s="4" t="s">
        <v>73</v>
      </c>
      <c r="B19" s="4"/>
      <c r="C19" s="4"/>
    </row>
    <row r="20" customFormat="false" ht="15.75" hidden="false" customHeight="true" outlineLevel="0" collapsed="false">
      <c r="A20" s="17" t="s">
        <v>74</v>
      </c>
      <c r="B20" s="17"/>
      <c r="C20" s="17"/>
    </row>
    <row r="21" customFormat="false" ht="15.75" hidden="false" customHeight="true" outlineLevel="0" collapsed="false">
      <c r="A21" s="17" t="s">
        <v>75</v>
      </c>
      <c r="B21" s="17"/>
      <c r="C21" s="17"/>
    </row>
    <row r="22" customFormat="false" ht="15.75" hidden="false" customHeight="true" outlineLevel="0" collapsed="false">
      <c r="A22" s="17" t="s">
        <v>76</v>
      </c>
      <c r="B22" s="17"/>
      <c r="C22" s="17"/>
    </row>
  </sheetData>
  <mergeCells count="9">
    <mergeCell ref="A1:C1"/>
    <mergeCell ref="A2:C2"/>
    <mergeCell ref="A4:C4"/>
    <mergeCell ref="A10:C10"/>
    <mergeCell ref="A11:C11"/>
    <mergeCell ref="A19:C19"/>
    <mergeCell ref="A20:C20"/>
    <mergeCell ref="A21:C21"/>
    <mergeCell ref="A22:C2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6"/>
    <col collapsed="false" customWidth="true" hidden="false" outlineLevel="0" max="3" min="3" style="1" width="16"/>
    <col collapsed="false" customWidth="true" hidden="false" outlineLevel="0" max="4" min="4" style="1" width="30"/>
  </cols>
  <sheetData>
    <row r="1" customFormat="false" ht="30" hidden="false" customHeight="true" outlineLevel="0" collapsed="false">
      <c r="A1" s="2" t="s">
        <v>77</v>
      </c>
      <c r="B1" s="2"/>
      <c r="C1" s="2"/>
      <c r="D1" s="2"/>
    </row>
    <row r="2" customFormat="false" ht="18" hidden="false" customHeight="true" outlineLevel="0" collapsed="false">
      <c r="A2" s="3" t="s">
        <v>78</v>
      </c>
      <c r="B2" s="3"/>
      <c r="C2" s="3"/>
      <c r="D2" s="3"/>
    </row>
    <row r="4" customFormat="false" ht="21.75" hidden="false" customHeight="true" outlineLevel="0" collapsed="false">
      <c r="A4" s="4" t="s">
        <v>79</v>
      </c>
      <c r="B4" s="4"/>
      <c r="C4" s="4"/>
      <c r="D4" s="4"/>
    </row>
    <row r="5" customFormat="false" ht="19.5" hidden="false" customHeight="true" outlineLevel="0" collapsed="false">
      <c r="A5" s="7" t="s">
        <v>80</v>
      </c>
      <c r="B5" s="7" t="s">
        <v>81</v>
      </c>
      <c r="C5" s="7" t="s">
        <v>82</v>
      </c>
      <c r="D5" s="7" t="s">
        <v>83</v>
      </c>
    </row>
    <row r="6" customFormat="false" ht="33.75" hidden="false" customHeight="true" outlineLevel="0" collapsed="false">
      <c r="A6" s="14" t="s">
        <v>84</v>
      </c>
      <c r="B6" s="9" t="s">
        <v>85</v>
      </c>
      <c r="C6" s="18"/>
      <c r="D6" s="16"/>
    </row>
    <row r="7" customFormat="false" ht="33.75" hidden="false" customHeight="true" outlineLevel="0" collapsed="false">
      <c r="A7" s="14" t="s">
        <v>86</v>
      </c>
      <c r="B7" s="9" t="s">
        <v>87</v>
      </c>
      <c r="C7" s="18"/>
      <c r="D7" s="16"/>
    </row>
    <row r="8" customFormat="false" ht="33.75" hidden="false" customHeight="true" outlineLevel="0" collapsed="false">
      <c r="A8" s="14" t="s">
        <v>88</v>
      </c>
      <c r="B8" s="9" t="s">
        <v>89</v>
      </c>
      <c r="C8" s="18"/>
      <c r="D8" s="16"/>
    </row>
    <row r="9" customFormat="false" ht="33.75" hidden="false" customHeight="true" outlineLevel="0" collapsed="false">
      <c r="A9" s="14" t="s">
        <v>90</v>
      </c>
      <c r="B9" s="9" t="s">
        <v>91</v>
      </c>
      <c r="C9" s="18"/>
      <c r="D9" s="16"/>
    </row>
    <row r="11" customFormat="false" ht="21.75" hidden="false" customHeight="true" outlineLevel="0" collapsed="false">
      <c r="A11" s="4" t="s">
        <v>92</v>
      </c>
      <c r="B11" s="4"/>
      <c r="C11" s="4"/>
      <c r="D11" s="4"/>
    </row>
    <row r="12" customFormat="false" ht="19.5" hidden="false" customHeight="true" outlineLevel="0" collapsed="false">
      <c r="A12" s="7" t="s">
        <v>93</v>
      </c>
      <c r="B12" s="7" t="s">
        <v>81</v>
      </c>
      <c r="C12" s="7" t="s">
        <v>82</v>
      </c>
      <c r="D12" s="7" t="s">
        <v>94</v>
      </c>
    </row>
    <row r="13" customFormat="false" ht="30" hidden="false" customHeight="true" outlineLevel="0" collapsed="false">
      <c r="A13" s="14" t="s">
        <v>95</v>
      </c>
      <c r="B13" s="9" t="s">
        <v>96</v>
      </c>
      <c r="C13" s="18"/>
      <c r="D13" s="16"/>
    </row>
    <row r="14" customFormat="false" ht="30" hidden="false" customHeight="true" outlineLevel="0" collapsed="false">
      <c r="A14" s="14" t="s">
        <v>97</v>
      </c>
      <c r="B14" s="9" t="s">
        <v>98</v>
      </c>
      <c r="C14" s="18"/>
      <c r="D14" s="16"/>
    </row>
    <row r="15" customFormat="false" ht="30" hidden="false" customHeight="true" outlineLevel="0" collapsed="false">
      <c r="A15" s="14" t="s">
        <v>99</v>
      </c>
      <c r="B15" s="9" t="s">
        <v>100</v>
      </c>
      <c r="C15" s="18"/>
      <c r="D15" s="16"/>
    </row>
    <row r="16" customFormat="false" ht="30" hidden="false" customHeight="true" outlineLevel="0" collapsed="false">
      <c r="A16" s="14" t="s">
        <v>101</v>
      </c>
      <c r="B16" s="9" t="s">
        <v>102</v>
      </c>
      <c r="C16" s="18"/>
      <c r="D16" s="16"/>
    </row>
    <row r="17" customFormat="false" ht="30" hidden="false" customHeight="true" outlineLevel="0" collapsed="false">
      <c r="A17" s="14" t="s">
        <v>103</v>
      </c>
      <c r="B17" s="9" t="s">
        <v>104</v>
      </c>
      <c r="C17" s="18"/>
      <c r="D17" s="16"/>
    </row>
    <row r="19" customFormat="false" ht="21.75" hidden="false" customHeight="true" outlineLevel="0" collapsed="false">
      <c r="A19" s="4" t="s">
        <v>105</v>
      </c>
      <c r="B19" s="4"/>
      <c r="C19" s="4"/>
      <c r="D19" s="4"/>
    </row>
    <row r="20" customFormat="false" ht="19.5" hidden="false" customHeight="true" outlineLevel="0" collapsed="false">
      <c r="A20" s="7" t="s">
        <v>106</v>
      </c>
      <c r="B20" s="7" t="s">
        <v>107</v>
      </c>
      <c r="C20" s="7"/>
      <c r="D20" s="7"/>
    </row>
    <row r="21" customFormat="false" ht="36" hidden="false" customHeight="true" outlineLevel="0" collapsed="false">
      <c r="A21" s="14" t="s">
        <v>108</v>
      </c>
      <c r="B21" s="19" t="s">
        <v>109</v>
      </c>
      <c r="C21" s="19"/>
      <c r="D21" s="19"/>
    </row>
    <row r="22" customFormat="false" ht="36" hidden="false" customHeight="true" outlineLevel="0" collapsed="false">
      <c r="A22" s="14" t="s">
        <v>110</v>
      </c>
      <c r="B22" s="19" t="s">
        <v>111</v>
      </c>
      <c r="C22" s="19"/>
      <c r="D22" s="19"/>
    </row>
    <row r="23" customFormat="false" ht="36" hidden="false" customHeight="true" outlineLevel="0" collapsed="false">
      <c r="A23" s="14" t="s">
        <v>112</v>
      </c>
      <c r="B23" s="19" t="s">
        <v>113</v>
      </c>
      <c r="C23" s="19"/>
      <c r="D23" s="19"/>
    </row>
    <row r="25" customFormat="false" ht="21.75" hidden="false" customHeight="true" outlineLevel="0" collapsed="false">
      <c r="A25" s="4" t="s">
        <v>114</v>
      </c>
      <c r="B25" s="4"/>
      <c r="C25" s="4"/>
      <c r="D25" s="4"/>
    </row>
    <row r="26" customFormat="false" ht="19.5" hidden="false" customHeight="true" outlineLevel="0" collapsed="false">
      <c r="A26" s="7" t="s">
        <v>115</v>
      </c>
      <c r="B26" s="7" t="s">
        <v>116</v>
      </c>
      <c r="C26" s="7" t="s">
        <v>117</v>
      </c>
      <c r="D26" s="7"/>
    </row>
    <row r="27" customFormat="false" ht="33.75" hidden="false" customHeight="true" outlineLevel="0" collapsed="false">
      <c r="A27" s="14" t="s">
        <v>118</v>
      </c>
      <c r="B27" s="9" t="s">
        <v>119</v>
      </c>
      <c r="C27" s="20"/>
      <c r="D27" s="20"/>
    </row>
    <row r="28" customFormat="false" ht="33.75" hidden="false" customHeight="true" outlineLevel="0" collapsed="false">
      <c r="A28" s="14" t="s">
        <v>120</v>
      </c>
      <c r="B28" s="9" t="s">
        <v>121</v>
      </c>
      <c r="C28" s="20"/>
      <c r="D28" s="20"/>
    </row>
  </sheetData>
  <mergeCells count="13">
    <mergeCell ref="A1:D1"/>
    <mergeCell ref="A2:D2"/>
    <mergeCell ref="A4:D4"/>
    <mergeCell ref="A11:D11"/>
    <mergeCell ref="A19:D19"/>
    <mergeCell ref="B20:D20"/>
    <mergeCell ref="B21:D21"/>
    <mergeCell ref="B22:D22"/>
    <mergeCell ref="B23:D23"/>
    <mergeCell ref="A25:D25"/>
    <mergeCell ref="C26:D26"/>
    <mergeCell ref="C27:D27"/>
    <mergeCell ref="C28:D28"/>
  </mergeCells>
  <dataValidations count="2">
    <dataValidation allowBlank="true" errorStyle="stop" operator="between" showDropDown="false" showErrorMessage="false" showInputMessage="false" sqref="C6:C9" type="list">
      <formula1>"できている,意識中,要改善"</formula1>
      <formula2>0</formula2>
    </dataValidation>
    <dataValidation allowBlank="true" errorStyle="stop" operator="between" showDropDown="false" showErrorMessage="false" showInputMessage="false" sqref="C13:C17" type="list">
      <formula1>"高い,普通,要強化"</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C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44"/>
    <col collapsed="false" customWidth="true" hidden="false" outlineLevel="0" max="3" min="3" style="1" width="20"/>
  </cols>
  <sheetData>
    <row r="1" customFormat="false" ht="30" hidden="false" customHeight="true" outlineLevel="0" collapsed="false">
      <c r="A1" s="2" t="s">
        <v>18</v>
      </c>
      <c r="B1" s="2"/>
      <c r="C1" s="2"/>
    </row>
    <row r="2" customFormat="false" ht="18" hidden="false" customHeight="true" outlineLevel="0" collapsed="false">
      <c r="A2" s="3" t="s">
        <v>122</v>
      </c>
      <c r="B2" s="3"/>
      <c r="C2" s="3"/>
    </row>
    <row r="4" customFormat="false" ht="21.75" hidden="false" customHeight="true" outlineLevel="0" collapsed="false">
      <c r="A4" s="4" t="s">
        <v>123</v>
      </c>
      <c r="B4" s="4"/>
      <c r="C4" s="4"/>
    </row>
    <row r="5" customFormat="false" ht="15" hidden="false" customHeight="false" outlineLevel="0" collapsed="false">
      <c r="A5" s="14" t="s">
        <v>124</v>
      </c>
      <c r="B5" s="20"/>
      <c r="C5" s="20"/>
    </row>
    <row r="6" customFormat="false" ht="15" hidden="false" customHeight="false" outlineLevel="0" collapsed="false">
      <c r="A6" s="14" t="s">
        <v>125</v>
      </c>
      <c r="B6" s="20"/>
      <c r="C6" s="20"/>
    </row>
    <row r="7" customFormat="false" ht="15" hidden="false" customHeight="false" outlineLevel="0" collapsed="false">
      <c r="A7" s="14" t="s">
        <v>126</v>
      </c>
      <c r="B7" s="21"/>
      <c r="C7" s="21"/>
    </row>
    <row r="8" customFormat="false" ht="29.85" hidden="false" customHeight="false" outlineLevel="0" collapsed="false">
      <c r="A8" s="14" t="s">
        <v>127</v>
      </c>
      <c r="B8" s="20"/>
      <c r="C8" s="20"/>
    </row>
    <row r="10" customFormat="false" ht="21.75" hidden="false" customHeight="true" outlineLevel="0" collapsed="false">
      <c r="A10" s="4" t="s">
        <v>128</v>
      </c>
      <c r="B10" s="4"/>
      <c r="C10" s="4"/>
    </row>
    <row r="11" customFormat="false" ht="15" hidden="false" customHeight="true" outlineLevel="0" collapsed="false">
      <c r="A11" s="15" t="s">
        <v>129</v>
      </c>
      <c r="B11" s="15"/>
      <c r="C11" s="15"/>
    </row>
    <row r="12" customFormat="false" ht="19.5" hidden="false" customHeight="true" outlineLevel="0" collapsed="false">
      <c r="A12" s="7" t="s">
        <v>130</v>
      </c>
      <c r="B12" s="7" t="s">
        <v>131</v>
      </c>
      <c r="C12" s="7" t="s">
        <v>132</v>
      </c>
    </row>
    <row r="13" customFormat="false" ht="24" hidden="false" customHeight="true" outlineLevel="0" collapsed="false">
      <c r="A13" s="22" t="s">
        <v>133</v>
      </c>
      <c r="B13" s="16"/>
      <c r="C13" s="18"/>
    </row>
    <row r="14" customFormat="false" ht="24" hidden="false" customHeight="true" outlineLevel="0" collapsed="false">
      <c r="A14" s="22" t="s">
        <v>134</v>
      </c>
      <c r="B14" s="16"/>
      <c r="C14" s="18"/>
    </row>
    <row r="15" customFormat="false" ht="24" hidden="false" customHeight="true" outlineLevel="0" collapsed="false">
      <c r="A15" s="9"/>
      <c r="B15" s="16"/>
      <c r="C15" s="18"/>
    </row>
    <row r="16" customFormat="false" ht="24" hidden="false" customHeight="true" outlineLevel="0" collapsed="false">
      <c r="A16" s="9"/>
      <c r="B16" s="16"/>
      <c r="C16" s="18"/>
    </row>
    <row r="17" customFormat="false" ht="24" hidden="false" customHeight="true" outlineLevel="0" collapsed="false">
      <c r="A17" s="9"/>
      <c r="B17" s="16"/>
      <c r="C17" s="18"/>
    </row>
    <row r="19" customFormat="false" ht="21.75" hidden="false" customHeight="true" outlineLevel="0" collapsed="false">
      <c r="A19" s="4" t="s">
        <v>135</v>
      </c>
      <c r="B19" s="4"/>
      <c r="C19" s="4"/>
    </row>
    <row r="20" customFormat="false" ht="19.5" hidden="false" customHeight="true" outlineLevel="0" collapsed="false">
      <c r="A20" s="7" t="s">
        <v>136</v>
      </c>
      <c r="B20" s="7"/>
      <c r="C20" s="7" t="s">
        <v>137</v>
      </c>
    </row>
    <row r="21" customFormat="false" ht="24" hidden="false" customHeight="true" outlineLevel="0" collapsed="false">
      <c r="A21" s="23" t="s">
        <v>138</v>
      </c>
      <c r="B21" s="23"/>
      <c r="C21" s="18"/>
    </row>
    <row r="22" customFormat="false" ht="24" hidden="false" customHeight="true" outlineLevel="0" collapsed="false">
      <c r="A22" s="23" t="s">
        <v>139</v>
      </c>
      <c r="B22" s="23"/>
      <c r="C22" s="18"/>
    </row>
    <row r="23" customFormat="false" ht="24" hidden="false" customHeight="true" outlineLevel="0" collapsed="false">
      <c r="A23" s="23" t="s">
        <v>140</v>
      </c>
      <c r="B23" s="23"/>
      <c r="C23" s="18"/>
    </row>
    <row r="24" customFormat="false" ht="24" hidden="false" customHeight="true" outlineLevel="0" collapsed="false">
      <c r="A24" s="23" t="s">
        <v>141</v>
      </c>
      <c r="B24" s="23"/>
      <c r="C24" s="18"/>
    </row>
    <row r="25" customFormat="false" ht="24" hidden="false" customHeight="true" outlineLevel="0" collapsed="false">
      <c r="A25" s="23" t="s">
        <v>142</v>
      </c>
      <c r="B25" s="23"/>
      <c r="C25" s="18"/>
    </row>
    <row r="27" customFormat="false" ht="21.75" hidden="false" customHeight="true" outlineLevel="0" collapsed="false">
      <c r="A27" s="4" t="s">
        <v>143</v>
      </c>
      <c r="B27" s="4"/>
      <c r="C27" s="4"/>
    </row>
    <row r="28" customFormat="false" ht="19.5" hidden="false" customHeight="true" outlineLevel="0" collapsed="false">
      <c r="A28" s="7" t="s">
        <v>144</v>
      </c>
      <c r="B28" s="7"/>
      <c r="C28" s="7" t="s">
        <v>145</v>
      </c>
    </row>
    <row r="29" customFormat="false" ht="24" hidden="false" customHeight="true" outlineLevel="0" collapsed="false">
      <c r="A29" s="23" t="s">
        <v>146</v>
      </c>
      <c r="B29" s="23"/>
      <c r="C29" s="24"/>
    </row>
    <row r="30" customFormat="false" ht="24" hidden="false" customHeight="true" outlineLevel="0" collapsed="false">
      <c r="A30" s="23" t="s">
        <v>147</v>
      </c>
      <c r="B30" s="23"/>
      <c r="C30" s="24"/>
    </row>
  </sheetData>
  <mergeCells count="20">
    <mergeCell ref="A1:C1"/>
    <mergeCell ref="A2:C2"/>
    <mergeCell ref="A4:C4"/>
    <mergeCell ref="B5:C5"/>
    <mergeCell ref="B6:C6"/>
    <mergeCell ref="B7:C7"/>
    <mergeCell ref="B8:C8"/>
    <mergeCell ref="A10:C10"/>
    <mergeCell ref="A11:C11"/>
    <mergeCell ref="A19:C19"/>
    <mergeCell ref="A20:B20"/>
    <mergeCell ref="A21:B21"/>
    <mergeCell ref="A22:B22"/>
    <mergeCell ref="A23:B23"/>
    <mergeCell ref="A24:B24"/>
    <mergeCell ref="A25:B25"/>
    <mergeCell ref="A27:C27"/>
    <mergeCell ref="A28:B28"/>
    <mergeCell ref="A29:B29"/>
    <mergeCell ref="A30:B30"/>
  </mergeCells>
  <dataValidations count="2">
    <dataValidation allowBlank="true" errorStyle="stop" operator="between" showDropDown="false" showErrorMessage="false" showInputMessage="false" sqref="C13:C17" type="list">
      <formula1>"未確認,確認済み,認識ずれあり"</formula1>
      <formula2>0</formula2>
    </dataValidation>
    <dataValidation allowBlank="true" errorStyle="stop" operator="between" showDropDown="false" showErrorMessage="false" showInputMessage="false" sqref="C21:C25" type="list">
      <formula1>"OK,対応中,未着手"</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32"/>
    <col collapsed="false" customWidth="true" hidden="false" outlineLevel="0" max="3" min="3" style="1" width="12"/>
    <col collapsed="false" customWidth="true" hidden="false" outlineLevel="0" max="5" min="4" style="1" width="13"/>
    <col collapsed="false" customWidth="true" hidden="false" outlineLevel="0" max="7" min="6" style="1" width="12"/>
  </cols>
  <sheetData>
    <row r="1" customFormat="false" ht="30" hidden="false" customHeight="true" outlineLevel="0" collapsed="false">
      <c r="A1" s="25" t="s">
        <v>148</v>
      </c>
      <c r="B1" s="25"/>
      <c r="C1" s="25"/>
      <c r="D1" s="25"/>
      <c r="E1" s="25"/>
      <c r="F1" s="25"/>
      <c r="G1" s="25"/>
    </row>
    <row r="2" customFormat="false" ht="18" hidden="false" customHeight="true" outlineLevel="0" collapsed="false">
      <c r="A2" s="3" t="s">
        <v>149</v>
      </c>
      <c r="B2" s="3"/>
      <c r="C2" s="3"/>
      <c r="D2" s="3"/>
      <c r="E2" s="3"/>
      <c r="F2" s="3"/>
      <c r="G2" s="3"/>
    </row>
    <row r="4" customFormat="false" ht="21.75" hidden="false" customHeight="true" outlineLevel="0" collapsed="false">
      <c r="A4" s="4" t="s">
        <v>150</v>
      </c>
      <c r="B4" s="4"/>
      <c r="C4" s="4"/>
      <c r="D4" s="4"/>
      <c r="E4" s="4"/>
      <c r="F4" s="4"/>
      <c r="G4" s="4"/>
    </row>
    <row r="5" customFormat="false" ht="15" hidden="false" customHeight="true" outlineLevel="0" collapsed="false">
      <c r="A5" s="15" t="s">
        <v>151</v>
      </c>
      <c r="B5" s="15"/>
      <c r="C5" s="15"/>
      <c r="D5" s="15"/>
      <c r="E5" s="15"/>
      <c r="F5" s="15"/>
      <c r="G5" s="15"/>
    </row>
    <row r="6" customFormat="false" ht="19.5" hidden="false" customHeight="true" outlineLevel="0" collapsed="false">
      <c r="A6" s="7" t="s">
        <v>152</v>
      </c>
      <c r="B6" s="7"/>
      <c r="C6" s="7" t="s">
        <v>153</v>
      </c>
      <c r="D6" s="7"/>
      <c r="E6" s="7"/>
      <c r="F6" s="7"/>
      <c r="G6" s="7"/>
    </row>
    <row r="7" customFormat="false" ht="30" hidden="false" customHeight="true" outlineLevel="0" collapsed="false">
      <c r="A7" s="26" t="s">
        <v>154</v>
      </c>
      <c r="B7" s="26"/>
      <c r="C7" s="19" t="s">
        <v>155</v>
      </c>
      <c r="D7" s="19"/>
      <c r="E7" s="19"/>
      <c r="F7" s="19"/>
      <c r="G7" s="19"/>
    </row>
    <row r="8" customFormat="false" ht="30" hidden="false" customHeight="true" outlineLevel="0" collapsed="false">
      <c r="A8" s="26" t="s">
        <v>156</v>
      </c>
      <c r="B8" s="26"/>
      <c r="C8" s="19" t="s">
        <v>157</v>
      </c>
      <c r="D8" s="19"/>
      <c r="E8" s="19"/>
      <c r="F8" s="19"/>
      <c r="G8" s="19"/>
    </row>
    <row r="10" customFormat="false" ht="21.75" hidden="false" customHeight="true" outlineLevel="0" collapsed="false">
      <c r="A10" s="27" t="s">
        <v>158</v>
      </c>
      <c r="B10" s="27"/>
      <c r="C10" s="27"/>
      <c r="D10" s="27"/>
      <c r="E10" s="27"/>
      <c r="F10" s="27"/>
      <c r="G10" s="27"/>
    </row>
    <row r="11" customFormat="false" ht="15" hidden="false" customHeight="true" outlineLevel="0" collapsed="false">
      <c r="A11" s="15" t="s">
        <v>159</v>
      </c>
      <c r="B11" s="15"/>
      <c r="C11" s="15"/>
      <c r="D11" s="15"/>
      <c r="E11" s="15"/>
      <c r="F11" s="15"/>
      <c r="G11" s="15"/>
    </row>
    <row r="12" customFormat="false" ht="19.5" hidden="false" customHeight="true" outlineLevel="0" collapsed="false">
      <c r="A12" s="7" t="s">
        <v>160</v>
      </c>
      <c r="B12" s="7" t="s">
        <v>161</v>
      </c>
      <c r="C12" s="7" t="s">
        <v>162</v>
      </c>
      <c r="D12" s="7" t="s">
        <v>163</v>
      </c>
      <c r="E12" s="7" t="s">
        <v>164</v>
      </c>
      <c r="F12" s="7" t="s">
        <v>165</v>
      </c>
      <c r="G12" s="7" t="s">
        <v>137</v>
      </c>
    </row>
    <row r="13" customFormat="false" ht="15" hidden="false" customHeight="false" outlineLevel="0" collapsed="false">
      <c r="A13" s="28" t="s">
        <v>166</v>
      </c>
      <c r="B13" s="28" t="s">
        <v>167</v>
      </c>
      <c r="C13" s="28" t="s">
        <v>168</v>
      </c>
      <c r="D13" s="29"/>
      <c r="E13" s="29"/>
      <c r="F13" s="30" t="n">
        <f aca="false">IFERROR(E13-D13+1,"")</f>
        <v>1</v>
      </c>
      <c r="G13" s="18"/>
    </row>
    <row r="14" customFormat="false" ht="15" hidden="false" customHeight="false" outlineLevel="0" collapsed="false">
      <c r="A14" s="28" t="s">
        <v>166</v>
      </c>
      <c r="B14" s="28" t="s">
        <v>169</v>
      </c>
      <c r="C14" s="28" t="s">
        <v>168</v>
      </c>
      <c r="D14" s="29"/>
      <c r="E14" s="29"/>
      <c r="F14" s="30" t="n">
        <f aca="false">IFERROR(E14-D14+1,"")</f>
        <v>1</v>
      </c>
      <c r="G14" s="18"/>
    </row>
    <row r="15" customFormat="false" ht="29.85" hidden="false" customHeight="false" outlineLevel="0" collapsed="false">
      <c r="A15" s="28" t="s">
        <v>170</v>
      </c>
      <c r="B15" s="28" t="s">
        <v>171</v>
      </c>
      <c r="C15" s="28" t="s">
        <v>172</v>
      </c>
      <c r="D15" s="29"/>
      <c r="E15" s="29"/>
      <c r="F15" s="30" t="n">
        <f aca="false">IFERROR(E15-D15+1,"")</f>
        <v>1</v>
      </c>
      <c r="G15" s="18"/>
    </row>
    <row r="16" customFormat="false" ht="29.85" hidden="false" customHeight="false" outlineLevel="0" collapsed="false">
      <c r="A16" s="28" t="s">
        <v>170</v>
      </c>
      <c r="B16" s="28" t="s">
        <v>173</v>
      </c>
      <c r="C16" s="28" t="s">
        <v>172</v>
      </c>
      <c r="D16" s="29"/>
      <c r="E16" s="29"/>
      <c r="F16" s="30" t="n">
        <f aca="false">IFERROR(E16-D16+1,"")</f>
        <v>1</v>
      </c>
      <c r="G16" s="18"/>
    </row>
    <row r="17" customFormat="false" ht="15" hidden="false" customHeight="false" outlineLevel="0" collapsed="false">
      <c r="A17" s="28" t="s">
        <v>174</v>
      </c>
      <c r="B17" s="28" t="s">
        <v>175</v>
      </c>
      <c r="C17" s="28" t="s">
        <v>168</v>
      </c>
      <c r="D17" s="29"/>
      <c r="E17" s="29"/>
      <c r="F17" s="30" t="n">
        <f aca="false">IFERROR(E17-D17+1,"")</f>
        <v>1</v>
      </c>
      <c r="G17" s="18"/>
    </row>
    <row r="18" customFormat="false" ht="29.85" hidden="false" customHeight="false" outlineLevel="0" collapsed="false">
      <c r="A18" s="28" t="s">
        <v>176</v>
      </c>
      <c r="B18" s="28" t="s">
        <v>177</v>
      </c>
      <c r="C18" s="28" t="s">
        <v>178</v>
      </c>
      <c r="D18" s="29"/>
      <c r="E18" s="29"/>
      <c r="F18" s="30" t="n">
        <f aca="false">IFERROR(E18-D18+1,"")</f>
        <v>1</v>
      </c>
      <c r="G18" s="18"/>
    </row>
    <row r="19" customFormat="false" ht="29.85" hidden="false" customHeight="false" outlineLevel="0" collapsed="false">
      <c r="A19" s="28" t="s">
        <v>176</v>
      </c>
      <c r="B19" s="28" t="s">
        <v>179</v>
      </c>
      <c r="C19" s="28" t="s">
        <v>172</v>
      </c>
      <c r="D19" s="29"/>
      <c r="E19" s="29"/>
      <c r="F19" s="30" t="n">
        <f aca="false">IFERROR(E19-D19+1,"")</f>
        <v>1</v>
      </c>
      <c r="G19" s="18"/>
    </row>
    <row r="20" customFormat="false" ht="29.85" hidden="false" customHeight="false" outlineLevel="0" collapsed="false">
      <c r="A20" s="28" t="s">
        <v>180</v>
      </c>
      <c r="B20" s="28" t="s">
        <v>181</v>
      </c>
      <c r="C20" s="28" t="s">
        <v>172</v>
      </c>
      <c r="D20" s="29"/>
      <c r="E20" s="29"/>
      <c r="F20" s="30" t="n">
        <f aca="false">IFERROR(E20-D20+1,"")</f>
        <v>1</v>
      </c>
      <c r="G20" s="18"/>
    </row>
    <row r="21" customFormat="false" ht="29.85" hidden="false" customHeight="false" outlineLevel="0" collapsed="false">
      <c r="A21" s="28" t="s">
        <v>180</v>
      </c>
      <c r="B21" s="28" t="s">
        <v>182</v>
      </c>
      <c r="C21" s="28" t="s">
        <v>183</v>
      </c>
      <c r="D21" s="29"/>
      <c r="E21" s="29"/>
      <c r="F21" s="30" t="n">
        <f aca="false">IFERROR(E21-D21+1,"")</f>
        <v>1</v>
      </c>
      <c r="G21" s="18"/>
    </row>
    <row r="22" customFormat="false" ht="29.85" hidden="false" customHeight="false" outlineLevel="0" collapsed="false">
      <c r="A22" s="28" t="s">
        <v>184</v>
      </c>
      <c r="B22" s="28" t="s">
        <v>185</v>
      </c>
      <c r="C22" s="28" t="s">
        <v>172</v>
      </c>
      <c r="D22" s="29"/>
      <c r="E22" s="29"/>
      <c r="F22" s="30" t="n">
        <f aca="false">IFERROR(E22-D22+1,"")</f>
        <v>1</v>
      </c>
      <c r="G22" s="18"/>
    </row>
    <row r="23" customFormat="false" ht="15" hidden="false" customHeight="false" outlineLevel="0" collapsed="false">
      <c r="A23" s="16"/>
      <c r="B23" s="16"/>
      <c r="C23" s="16"/>
      <c r="D23" s="29"/>
      <c r="E23" s="29"/>
      <c r="F23" s="30" t="n">
        <f aca="false">IFERROR(E23-D23+1,"")</f>
        <v>1</v>
      </c>
      <c r="G23" s="18"/>
    </row>
    <row r="24" customFormat="false" ht="15" hidden="false" customHeight="false" outlineLevel="0" collapsed="false">
      <c r="A24" s="16"/>
      <c r="B24" s="16"/>
      <c r="C24" s="16"/>
      <c r="D24" s="29"/>
      <c r="E24" s="29"/>
      <c r="F24" s="30" t="n">
        <f aca="false">IFERROR(E24-D24+1,"")</f>
        <v>1</v>
      </c>
      <c r="G24" s="18"/>
    </row>
    <row r="25" customFormat="false" ht="15" hidden="false" customHeight="false" outlineLevel="0" collapsed="false">
      <c r="A25" s="16"/>
      <c r="B25" s="16"/>
      <c r="C25" s="16"/>
      <c r="D25" s="29"/>
      <c r="E25" s="29"/>
      <c r="F25" s="30" t="n">
        <f aca="false">IFERROR(E25-D25+1,"")</f>
        <v>1</v>
      </c>
      <c r="G25" s="18"/>
    </row>
    <row r="26" customFormat="false" ht="15" hidden="false" customHeight="false" outlineLevel="0" collapsed="false">
      <c r="A26" s="16"/>
      <c r="B26" s="16"/>
      <c r="C26" s="16"/>
      <c r="D26" s="29"/>
      <c r="E26" s="29"/>
      <c r="F26" s="30" t="n">
        <f aca="false">IFERROR(E26-D26+1,"")</f>
        <v>1</v>
      </c>
      <c r="G26" s="18"/>
    </row>
    <row r="27" customFormat="false" ht="15" hidden="false" customHeight="false" outlineLevel="0" collapsed="false">
      <c r="A27" s="16"/>
      <c r="B27" s="16"/>
      <c r="C27" s="16"/>
      <c r="D27" s="29"/>
      <c r="E27" s="29"/>
      <c r="F27" s="30" t="n">
        <f aca="false">IFERROR(E27-D27+1,"")</f>
        <v>1</v>
      </c>
      <c r="G27" s="18"/>
    </row>
    <row r="29" customFormat="false" ht="21.75" hidden="false" customHeight="true" outlineLevel="0" collapsed="false">
      <c r="A29" s="27" t="s">
        <v>186</v>
      </c>
      <c r="B29" s="27"/>
      <c r="C29" s="27"/>
      <c r="D29" s="27"/>
      <c r="E29" s="27"/>
      <c r="F29" s="27"/>
      <c r="G29" s="27"/>
    </row>
    <row r="30" customFormat="false" ht="15" hidden="false" customHeight="true" outlineLevel="0" collapsed="false">
      <c r="A30" s="31" t="s">
        <v>187</v>
      </c>
      <c r="B30" s="31"/>
      <c r="C30" s="31"/>
      <c r="D30" s="31"/>
      <c r="E30" s="31"/>
      <c r="F30" s="31"/>
      <c r="G30" s="31"/>
    </row>
  </sheetData>
  <mergeCells count="14">
    <mergeCell ref="A1:G1"/>
    <mergeCell ref="A2:G2"/>
    <mergeCell ref="A4:G4"/>
    <mergeCell ref="A5:G5"/>
    <mergeCell ref="A6:B6"/>
    <mergeCell ref="C6:G6"/>
    <mergeCell ref="A7:B7"/>
    <mergeCell ref="C7:G7"/>
    <mergeCell ref="A8:B8"/>
    <mergeCell ref="C8:G8"/>
    <mergeCell ref="A10:G10"/>
    <mergeCell ref="A11:G11"/>
    <mergeCell ref="A29:G29"/>
    <mergeCell ref="A30:G30"/>
  </mergeCells>
  <dataValidations count="2">
    <dataValidation allowBlank="true" errorStyle="stop" operator="between" showDropDown="false" showErrorMessage="false" showInputMessage="false" sqref="A13:A27" type="list">
      <formula1>"要件定義,システム設計,見積もり,制作・開発,テスト,納品・公開"</formula1>
      <formula2>0</formula2>
    </dataValidation>
    <dataValidation allowBlank="true" errorStyle="stop" operator="between" showDropDown="false" showErrorMessage="false" showInputMessage="false" sqref="G13:G27" type="list">
      <formula1>"未着手,進行中,完了,遅延"</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F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6" min="2" style="1" width="16"/>
  </cols>
  <sheetData>
    <row r="1" customFormat="false" ht="30" hidden="false" customHeight="true" outlineLevel="0" collapsed="false">
      <c r="A1" s="25" t="s">
        <v>188</v>
      </c>
      <c r="B1" s="25"/>
      <c r="C1" s="25"/>
      <c r="D1" s="25"/>
      <c r="E1" s="25"/>
      <c r="F1" s="25"/>
    </row>
    <row r="2" customFormat="false" ht="18" hidden="false" customHeight="true" outlineLevel="0" collapsed="false">
      <c r="A2" s="3" t="s">
        <v>189</v>
      </c>
      <c r="B2" s="3"/>
      <c r="C2" s="3"/>
      <c r="D2" s="3"/>
      <c r="E2" s="3"/>
      <c r="F2" s="3"/>
    </row>
    <row r="4" customFormat="false" ht="21.75" hidden="false" customHeight="true" outlineLevel="0" collapsed="false">
      <c r="A4" s="27" t="s">
        <v>190</v>
      </c>
      <c r="B4" s="27"/>
      <c r="C4" s="27"/>
      <c r="D4" s="27"/>
      <c r="E4" s="27"/>
      <c r="F4" s="27"/>
    </row>
    <row r="5" customFormat="false" ht="15" hidden="false" customHeight="true" outlineLevel="0" collapsed="false">
      <c r="A5" s="15" t="s">
        <v>191</v>
      </c>
      <c r="B5" s="15"/>
      <c r="C5" s="15"/>
      <c r="D5" s="15"/>
      <c r="E5" s="15"/>
      <c r="F5" s="15"/>
    </row>
    <row r="6" customFormat="false" ht="19.5" hidden="false" customHeight="true" outlineLevel="0" collapsed="false">
      <c r="A6" s="7" t="s">
        <v>192</v>
      </c>
      <c r="B6" s="7" t="s">
        <v>193</v>
      </c>
      <c r="C6" s="7"/>
      <c r="D6" s="7"/>
      <c r="E6" s="7"/>
      <c r="F6" s="7"/>
    </row>
    <row r="7" customFormat="false" ht="33.75" hidden="false" customHeight="true" outlineLevel="0" collapsed="false">
      <c r="A7" s="13" t="s">
        <v>194</v>
      </c>
      <c r="B7" s="23" t="s">
        <v>195</v>
      </c>
      <c r="C7" s="23"/>
      <c r="D7" s="23"/>
      <c r="E7" s="23"/>
      <c r="F7" s="23"/>
    </row>
    <row r="8" customFormat="false" ht="33.75" hidden="false" customHeight="true" outlineLevel="0" collapsed="false">
      <c r="A8" s="13" t="s">
        <v>196</v>
      </c>
      <c r="B8" s="23" t="s">
        <v>197</v>
      </c>
      <c r="C8" s="23"/>
      <c r="D8" s="23"/>
      <c r="E8" s="23"/>
      <c r="F8" s="23"/>
    </row>
    <row r="9" customFormat="false" ht="33.75" hidden="false" customHeight="true" outlineLevel="0" collapsed="false">
      <c r="A9" s="13" t="s">
        <v>198</v>
      </c>
      <c r="B9" s="23" t="s">
        <v>199</v>
      </c>
      <c r="C9" s="23"/>
      <c r="D9" s="23"/>
      <c r="E9" s="23"/>
      <c r="F9" s="23"/>
    </row>
    <row r="11" customFormat="false" ht="21.75" hidden="false" customHeight="true" outlineLevel="0" collapsed="false">
      <c r="A11" s="4" t="s">
        <v>200</v>
      </c>
      <c r="B11" s="4"/>
      <c r="C11" s="4"/>
      <c r="D11" s="4"/>
      <c r="E11" s="4"/>
      <c r="F11" s="4"/>
    </row>
    <row r="12" customFormat="false" ht="29.85" hidden="false" customHeight="true" outlineLevel="0" collapsed="false">
      <c r="A12" s="13" t="s">
        <v>201</v>
      </c>
      <c r="B12" s="19" t="s">
        <v>202</v>
      </c>
      <c r="C12" s="19"/>
      <c r="D12" s="19"/>
      <c r="E12" s="19"/>
      <c r="F12" s="19"/>
    </row>
    <row r="13" customFormat="false" ht="29.85" hidden="false" customHeight="false" outlineLevel="0" collapsed="false">
      <c r="A13" s="13" t="s">
        <v>203</v>
      </c>
      <c r="B13" s="20"/>
      <c r="C13" s="20"/>
      <c r="D13" s="20"/>
      <c r="E13" s="20"/>
      <c r="F13" s="20"/>
    </row>
    <row r="14" customFormat="false" ht="15" hidden="false" customHeight="false" outlineLevel="0" collapsed="false">
      <c r="A14" s="13" t="s">
        <v>204</v>
      </c>
      <c r="B14" s="20"/>
      <c r="C14" s="20"/>
      <c r="D14" s="20"/>
      <c r="E14" s="20"/>
      <c r="F14" s="20"/>
    </row>
    <row r="15" customFormat="false" ht="29.85" hidden="false" customHeight="false" outlineLevel="0" collapsed="false">
      <c r="A15" s="14" t="s">
        <v>205</v>
      </c>
      <c r="B15" s="20"/>
      <c r="C15" s="20"/>
      <c r="D15" s="20"/>
      <c r="E15" s="20"/>
      <c r="F15" s="20"/>
    </row>
    <row r="17" customFormat="false" ht="21.75" hidden="false" customHeight="true" outlineLevel="0" collapsed="false">
      <c r="A17" s="4" t="s">
        <v>206</v>
      </c>
      <c r="B17" s="4"/>
      <c r="C17" s="4"/>
      <c r="D17" s="4"/>
      <c r="E17" s="4"/>
      <c r="F17" s="4"/>
    </row>
    <row r="18" customFormat="false" ht="15" hidden="false" customHeight="true" outlineLevel="0" collapsed="false">
      <c r="A18" s="15" t="s">
        <v>207</v>
      </c>
      <c r="B18" s="15"/>
      <c r="C18" s="15"/>
      <c r="D18" s="15"/>
      <c r="E18" s="15"/>
      <c r="F18" s="15"/>
    </row>
    <row r="19" customFormat="false" ht="19.5" hidden="false" customHeight="true" outlineLevel="0" collapsed="false">
      <c r="A19" s="7" t="s">
        <v>208</v>
      </c>
      <c r="B19" s="7" t="s">
        <v>209</v>
      </c>
      <c r="C19" s="7" t="s">
        <v>210</v>
      </c>
      <c r="D19" s="7"/>
      <c r="E19" s="7"/>
      <c r="F19" s="7" t="s">
        <v>137</v>
      </c>
    </row>
    <row r="20" customFormat="false" ht="24" hidden="false" customHeight="true" outlineLevel="0" collapsed="false">
      <c r="A20" s="22" t="s">
        <v>211</v>
      </c>
      <c r="B20" s="29"/>
      <c r="C20" s="20"/>
      <c r="D20" s="20"/>
      <c r="E20" s="20"/>
      <c r="F20" s="18"/>
    </row>
    <row r="21" customFormat="false" ht="24" hidden="false" customHeight="true" outlineLevel="0" collapsed="false">
      <c r="A21" s="22" t="s">
        <v>212</v>
      </c>
      <c r="B21" s="29"/>
      <c r="C21" s="20"/>
      <c r="D21" s="20"/>
      <c r="E21" s="20"/>
      <c r="F21" s="18"/>
    </row>
    <row r="22" customFormat="false" ht="24" hidden="false" customHeight="true" outlineLevel="0" collapsed="false">
      <c r="A22" s="9"/>
      <c r="B22" s="29"/>
      <c r="C22" s="20"/>
      <c r="D22" s="20"/>
      <c r="E22" s="20"/>
      <c r="F22" s="18"/>
    </row>
    <row r="23" customFormat="false" ht="24" hidden="false" customHeight="true" outlineLevel="0" collapsed="false">
      <c r="A23" s="9"/>
      <c r="B23" s="29"/>
      <c r="C23" s="20"/>
      <c r="D23" s="20"/>
      <c r="E23" s="20"/>
      <c r="F23" s="18"/>
    </row>
    <row r="24" customFormat="false" ht="24" hidden="false" customHeight="true" outlineLevel="0" collapsed="false">
      <c r="A24" s="9"/>
      <c r="B24" s="29"/>
      <c r="C24" s="20"/>
      <c r="D24" s="20"/>
      <c r="E24" s="20"/>
      <c r="F24" s="18"/>
    </row>
    <row r="26" customFormat="false" ht="21.75" hidden="false" customHeight="true" outlineLevel="0" collapsed="false">
      <c r="A26" s="4" t="s">
        <v>213</v>
      </c>
      <c r="B26" s="4"/>
      <c r="C26" s="4"/>
      <c r="D26" s="4"/>
      <c r="E26" s="4"/>
      <c r="F26" s="4"/>
    </row>
    <row r="27" customFormat="false" ht="15" hidden="false" customHeight="true" outlineLevel="0" collapsed="false">
      <c r="A27" s="15" t="s">
        <v>214</v>
      </c>
      <c r="B27" s="15"/>
      <c r="C27" s="15"/>
      <c r="D27" s="15"/>
      <c r="E27" s="15"/>
      <c r="F27" s="15"/>
    </row>
    <row r="28" customFormat="false" ht="19.5" hidden="false" customHeight="true" outlineLevel="0" collapsed="false">
      <c r="A28" s="7" t="s">
        <v>215</v>
      </c>
      <c r="B28" s="7" t="s">
        <v>216</v>
      </c>
      <c r="C28" s="7" t="s">
        <v>217</v>
      </c>
      <c r="D28" s="7" t="s">
        <v>218</v>
      </c>
      <c r="E28" s="7" t="s">
        <v>219</v>
      </c>
      <c r="F28" s="7" t="s">
        <v>220</v>
      </c>
    </row>
    <row r="29" customFormat="false" ht="15" hidden="false" customHeight="false" outlineLevel="0" collapsed="false">
      <c r="A29" s="14" t="s">
        <v>221</v>
      </c>
      <c r="B29" s="32"/>
      <c r="C29" s="32"/>
      <c r="D29" s="32"/>
      <c r="E29" s="32"/>
      <c r="F29" s="33" t="n">
        <f aca="false">IFERROR(SUM(B29:E29),"")</f>
        <v>0</v>
      </c>
    </row>
    <row r="30" customFormat="false" ht="15" hidden="false" customHeight="false" outlineLevel="0" collapsed="false">
      <c r="A30" s="14" t="s">
        <v>222</v>
      </c>
      <c r="B30" s="32"/>
      <c r="C30" s="32"/>
      <c r="D30" s="32"/>
      <c r="E30" s="32"/>
      <c r="F30" s="33" t="n">
        <f aca="false">IFERROR(SUM(B30:E30),"")</f>
        <v>0</v>
      </c>
    </row>
    <row r="31" customFormat="false" ht="15" hidden="false" customHeight="false" outlineLevel="0" collapsed="false">
      <c r="A31" s="13"/>
      <c r="B31" s="32"/>
      <c r="C31" s="32"/>
      <c r="D31" s="32"/>
      <c r="E31" s="32"/>
      <c r="F31" s="33" t="n">
        <f aca="false">IFERROR(SUM(B31:E31),"")</f>
        <v>0</v>
      </c>
    </row>
  </sheetData>
  <mergeCells count="23">
    <mergeCell ref="A1:F1"/>
    <mergeCell ref="A2:F2"/>
    <mergeCell ref="A4:F4"/>
    <mergeCell ref="A5:F5"/>
    <mergeCell ref="B6:F6"/>
    <mergeCell ref="B7:F7"/>
    <mergeCell ref="B8:F8"/>
    <mergeCell ref="B9:F9"/>
    <mergeCell ref="A11:F11"/>
    <mergeCell ref="B12:F12"/>
    <mergeCell ref="B13:F13"/>
    <mergeCell ref="B14:F14"/>
    <mergeCell ref="B15:F15"/>
    <mergeCell ref="A17:F17"/>
    <mergeCell ref="A18:F18"/>
    <mergeCell ref="C19:E19"/>
    <mergeCell ref="C20:E20"/>
    <mergeCell ref="C21:E21"/>
    <mergeCell ref="C22:E22"/>
    <mergeCell ref="C23:E23"/>
    <mergeCell ref="C24:E24"/>
    <mergeCell ref="A26:F26"/>
    <mergeCell ref="A27:F27"/>
  </mergeCells>
  <dataValidations count="1">
    <dataValidation allowBlank="true" errorStyle="stop" operator="between" showDropDown="false" showErrorMessage="false" showInputMessage="false" sqref="F20:F24" type="list">
      <formula1>"未達成,達成,遅延"</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4" min="2" style="1" width="12"/>
    <col collapsed="false" customWidth="true" hidden="false" outlineLevel="0" max="5" min="5" style="1" width="14"/>
    <col collapsed="false" customWidth="true" hidden="false" outlineLevel="0" max="6" min="6" style="1" width="16"/>
  </cols>
  <sheetData>
    <row r="1" customFormat="false" ht="30" hidden="false" customHeight="true" outlineLevel="0" collapsed="false">
      <c r="A1" s="25" t="s">
        <v>223</v>
      </c>
      <c r="B1" s="25"/>
      <c r="C1" s="25"/>
      <c r="D1" s="25"/>
      <c r="E1" s="25"/>
      <c r="F1" s="25"/>
    </row>
    <row r="2" customFormat="false" ht="18" hidden="false" customHeight="true" outlineLevel="0" collapsed="false">
      <c r="A2" s="3" t="s">
        <v>224</v>
      </c>
      <c r="B2" s="3"/>
      <c r="C2" s="3"/>
      <c r="D2" s="3"/>
      <c r="E2" s="3"/>
      <c r="F2" s="3"/>
    </row>
    <row r="4" customFormat="false" ht="21.75" hidden="false" customHeight="true" outlineLevel="0" collapsed="false">
      <c r="A4" s="27" t="s">
        <v>225</v>
      </c>
      <c r="B4" s="27"/>
      <c r="C4" s="27"/>
      <c r="D4" s="27"/>
      <c r="E4" s="27"/>
      <c r="F4" s="27"/>
    </row>
    <row r="5" customFormat="false" ht="15" hidden="false" customHeight="true" outlineLevel="0" collapsed="false">
      <c r="A5" s="15" t="s">
        <v>226</v>
      </c>
      <c r="B5" s="15"/>
      <c r="C5" s="15"/>
      <c r="D5" s="15"/>
      <c r="E5" s="15"/>
      <c r="F5" s="15"/>
    </row>
    <row r="6" customFormat="false" ht="21.75" hidden="false" customHeight="true" outlineLevel="0" collapsed="false">
      <c r="A6" s="27" t="s">
        <v>227</v>
      </c>
      <c r="B6" s="27"/>
      <c r="C6" s="27"/>
      <c r="D6" s="27"/>
      <c r="E6" s="27"/>
      <c r="F6" s="27"/>
    </row>
    <row r="7" customFormat="false" ht="19.5" hidden="false" customHeight="true" outlineLevel="0" collapsed="false">
      <c r="A7" s="7" t="s">
        <v>228</v>
      </c>
      <c r="B7" s="7" t="s">
        <v>229</v>
      </c>
      <c r="C7" s="7" t="s">
        <v>230</v>
      </c>
      <c r="D7" s="7" t="s">
        <v>231</v>
      </c>
      <c r="E7" s="7" t="s">
        <v>232</v>
      </c>
      <c r="F7" s="7" t="s">
        <v>233</v>
      </c>
    </row>
    <row r="8" customFormat="false" ht="15" hidden="false" customHeight="false" outlineLevel="0" collapsed="false">
      <c r="A8" s="22" t="s">
        <v>234</v>
      </c>
      <c r="B8" s="18"/>
      <c r="C8" s="18"/>
      <c r="D8" s="18"/>
      <c r="E8" s="34" t="n">
        <f aca="false">IFERROR((B8+C8*4+D8)/6,"")</f>
        <v>0</v>
      </c>
      <c r="F8" s="35" t="s">
        <v>235</v>
      </c>
    </row>
    <row r="9" customFormat="false" ht="15" hidden="false" customHeight="false" outlineLevel="0" collapsed="false">
      <c r="A9" s="22" t="s">
        <v>236</v>
      </c>
      <c r="B9" s="18"/>
      <c r="C9" s="18"/>
      <c r="D9" s="18"/>
      <c r="E9" s="34" t="n">
        <f aca="false">IFERROR((B9+C9*4+D9)/6,"")</f>
        <v>0</v>
      </c>
      <c r="F9" s="35" t="s">
        <v>235</v>
      </c>
    </row>
    <row r="10" customFormat="false" ht="15" hidden="false" customHeight="false" outlineLevel="0" collapsed="false">
      <c r="A10" s="22" t="s">
        <v>237</v>
      </c>
      <c r="B10" s="18"/>
      <c r="C10" s="18"/>
      <c r="D10" s="18"/>
      <c r="E10" s="34" t="n">
        <f aca="false">IFERROR((B10+C10*4+D10)/6,"")</f>
        <v>0</v>
      </c>
      <c r="F10" s="35" t="s">
        <v>235</v>
      </c>
    </row>
    <row r="11" customFormat="false" ht="15" hidden="false" customHeight="false" outlineLevel="0" collapsed="false">
      <c r="A11" s="9"/>
      <c r="B11" s="18"/>
      <c r="C11" s="18"/>
      <c r="D11" s="18"/>
      <c r="E11" s="34" t="n">
        <f aca="false">IFERROR((B11+C11*4+D11)/6,"")</f>
        <v>0</v>
      </c>
      <c r="F11" s="36" t="s">
        <v>235</v>
      </c>
    </row>
    <row r="12" customFormat="false" ht="15" hidden="false" customHeight="false" outlineLevel="0" collapsed="false">
      <c r="A12" s="9"/>
      <c r="B12" s="36"/>
      <c r="C12" s="36"/>
      <c r="D12" s="36"/>
      <c r="E12" s="34" t="n">
        <f aca="false">IFERROR((B12+C12*4+D12)/6,"")</f>
        <v>0</v>
      </c>
      <c r="F12" s="36" t="s">
        <v>235</v>
      </c>
    </row>
    <row r="13" customFormat="false" ht="15" hidden="false" customHeight="false" outlineLevel="0" collapsed="false">
      <c r="A13" s="9"/>
      <c r="B13" s="36"/>
      <c r="C13" s="36"/>
      <c r="D13" s="36"/>
      <c r="E13" s="34" t="n">
        <f aca="false">IFERROR((B13+C13*4+D13)/6,"")</f>
        <v>0</v>
      </c>
      <c r="F13" s="36" t="s">
        <v>235</v>
      </c>
    </row>
    <row r="15" customFormat="false" ht="21.75" hidden="false" customHeight="true" outlineLevel="0" collapsed="false">
      <c r="A15" s="4" t="s">
        <v>238</v>
      </c>
      <c r="B15" s="4"/>
      <c r="C15" s="4"/>
      <c r="D15" s="4"/>
      <c r="E15" s="4"/>
      <c r="F15" s="4"/>
    </row>
    <row r="16" customFormat="false" ht="15" hidden="false" customHeight="true" outlineLevel="0" collapsed="false">
      <c r="A16" s="15" t="s">
        <v>239</v>
      </c>
      <c r="B16" s="15"/>
      <c r="C16" s="15"/>
      <c r="D16" s="15"/>
      <c r="E16" s="15"/>
      <c r="F16" s="15"/>
    </row>
    <row r="17" customFormat="false" ht="19.5" hidden="false" customHeight="true" outlineLevel="0" collapsed="false">
      <c r="A17" s="7" t="s">
        <v>54</v>
      </c>
      <c r="B17" s="7" t="s">
        <v>240</v>
      </c>
      <c r="C17" s="7" t="s">
        <v>241</v>
      </c>
      <c r="D17" s="7" t="s">
        <v>242</v>
      </c>
      <c r="E17" s="7"/>
      <c r="F17" s="7" t="s">
        <v>243</v>
      </c>
    </row>
    <row r="18" customFormat="false" ht="29.85" hidden="false" customHeight="false" outlineLevel="0" collapsed="false">
      <c r="A18" s="14" t="s">
        <v>244</v>
      </c>
      <c r="B18" s="36"/>
      <c r="C18" s="36"/>
      <c r="D18" s="37"/>
      <c r="E18" s="37"/>
      <c r="F18" s="38" t="n">
        <f aca="false">IFERROR(B18*C18*D18,"")</f>
        <v>0</v>
      </c>
    </row>
    <row r="19" customFormat="false" ht="15" hidden="false" customHeight="false" outlineLevel="0" collapsed="false">
      <c r="A19" s="14" t="s">
        <v>245</v>
      </c>
      <c r="B19" s="36"/>
      <c r="C19" s="36"/>
      <c r="D19" s="37"/>
      <c r="E19" s="37"/>
      <c r="F19" s="38" t="n">
        <f aca="false">IFERROR(B19*C19*D19,"")</f>
        <v>0</v>
      </c>
    </row>
    <row r="20" customFormat="false" ht="15" hidden="false" customHeight="false" outlineLevel="0" collapsed="false">
      <c r="A20" s="14" t="s">
        <v>246</v>
      </c>
      <c r="B20" s="36"/>
      <c r="C20" s="36"/>
      <c r="D20" s="37"/>
      <c r="E20" s="37"/>
      <c r="F20" s="38" t="n">
        <f aca="false">IFERROR(B20*C20*D20,"")</f>
        <v>0</v>
      </c>
    </row>
    <row r="21" customFormat="false" ht="15" hidden="false" customHeight="false" outlineLevel="0" collapsed="false">
      <c r="A21" s="13"/>
      <c r="B21" s="36"/>
      <c r="C21" s="36"/>
      <c r="D21" s="37"/>
      <c r="E21" s="37"/>
      <c r="F21" s="38" t="n">
        <f aca="false">IFERROR(B21*C21*D21,"")</f>
        <v>0</v>
      </c>
    </row>
    <row r="22" customFormat="false" ht="15" hidden="false" customHeight="false" outlineLevel="0" collapsed="false">
      <c r="A22" s="14" t="s">
        <v>247</v>
      </c>
      <c r="B22" s="39"/>
      <c r="C22" s="39"/>
      <c r="D22" s="39"/>
      <c r="E22" s="39"/>
      <c r="F22" s="38" t="n">
        <f aca="false">SUM(F18:F21)</f>
        <v>0</v>
      </c>
    </row>
    <row r="24" customFormat="false" ht="21.75" hidden="false" customHeight="true" outlineLevel="0" collapsed="false">
      <c r="A24" s="4" t="s">
        <v>248</v>
      </c>
      <c r="B24" s="4"/>
      <c r="C24" s="4"/>
      <c r="D24" s="4"/>
      <c r="E24" s="4"/>
      <c r="F24" s="4"/>
    </row>
    <row r="25" customFormat="false" ht="19.5" hidden="false" customHeight="true" outlineLevel="0" collapsed="false">
      <c r="A25" s="7" t="s">
        <v>249</v>
      </c>
      <c r="B25" s="7"/>
      <c r="C25" s="7"/>
      <c r="D25" s="7" t="s">
        <v>152</v>
      </c>
      <c r="E25" s="7" t="s">
        <v>250</v>
      </c>
      <c r="F25" s="7"/>
    </row>
    <row r="26" customFormat="false" ht="15" hidden="false" customHeight="true" outlineLevel="0" collapsed="false">
      <c r="A26" s="40" t="s">
        <v>251</v>
      </c>
      <c r="B26" s="40"/>
      <c r="C26" s="40"/>
      <c r="D26" s="35" t="s">
        <v>252</v>
      </c>
      <c r="E26" s="37"/>
      <c r="F26" s="37"/>
    </row>
    <row r="27" customFormat="false" ht="15" hidden="false" customHeight="true" outlineLevel="0" collapsed="false">
      <c r="A27" s="40" t="s">
        <v>253</v>
      </c>
      <c r="B27" s="40"/>
      <c r="C27" s="40"/>
      <c r="D27" s="35" t="s">
        <v>252</v>
      </c>
      <c r="E27" s="37"/>
      <c r="F27" s="37"/>
    </row>
    <row r="28" customFormat="false" ht="15" hidden="false" customHeight="true" outlineLevel="0" collapsed="false">
      <c r="A28" s="40" t="s">
        <v>254</v>
      </c>
      <c r="B28" s="40"/>
      <c r="C28" s="40"/>
      <c r="D28" s="35" t="s">
        <v>255</v>
      </c>
      <c r="E28" s="37"/>
      <c r="F28" s="37"/>
    </row>
    <row r="29" customFormat="false" ht="15" hidden="false" customHeight="true" outlineLevel="0" collapsed="false">
      <c r="A29" s="40" t="s">
        <v>256</v>
      </c>
      <c r="B29" s="40"/>
      <c r="C29" s="40"/>
      <c r="D29" s="35" t="s">
        <v>255</v>
      </c>
      <c r="E29" s="37"/>
      <c r="F29" s="37"/>
    </row>
    <row r="30" customFormat="false" ht="15" hidden="false" customHeight="false" outlineLevel="0" collapsed="false">
      <c r="A30" s="41"/>
      <c r="B30" s="41"/>
      <c r="C30" s="41"/>
      <c r="D30" s="18"/>
      <c r="E30" s="37"/>
      <c r="F30" s="37"/>
    </row>
    <row r="31" customFormat="false" ht="15" hidden="false" customHeight="false" outlineLevel="0" collapsed="false">
      <c r="A31" s="41"/>
      <c r="B31" s="41"/>
      <c r="C31" s="41"/>
      <c r="D31" s="18"/>
      <c r="E31" s="37"/>
      <c r="F31" s="37"/>
    </row>
    <row r="32" customFormat="false" ht="15" hidden="false" customHeight="true" outlineLevel="0" collapsed="false">
      <c r="A32" s="14" t="s">
        <v>257</v>
      </c>
      <c r="B32" s="14"/>
      <c r="C32" s="14"/>
      <c r="D32" s="14"/>
      <c r="E32" s="38" t="n">
        <f aca="false">SUMIF(D26:D31,"開発費",E26:E31)</f>
        <v>0</v>
      </c>
      <c r="F32" s="38"/>
    </row>
    <row r="33" customFormat="false" ht="15" hidden="false" customHeight="true" outlineLevel="0" collapsed="false">
      <c r="A33" s="14" t="s">
        <v>258</v>
      </c>
      <c r="B33" s="14"/>
      <c r="C33" s="14"/>
      <c r="D33" s="14"/>
      <c r="E33" s="38" t="n">
        <f aca="false">SUMIF(D26:D31,"運用保守費",E26:E31)</f>
        <v>0</v>
      </c>
      <c r="F33" s="38"/>
    </row>
    <row r="35" customFormat="false" ht="21.75" hidden="false" customHeight="true" outlineLevel="0" collapsed="false">
      <c r="A35" s="4" t="s">
        <v>259</v>
      </c>
      <c r="B35" s="4"/>
      <c r="C35" s="4"/>
      <c r="D35" s="4"/>
      <c r="E35" s="4"/>
      <c r="F35" s="4"/>
    </row>
    <row r="36" customFormat="false" ht="15" hidden="false" customHeight="true" outlineLevel="0" collapsed="false">
      <c r="A36" s="14" t="s">
        <v>260</v>
      </c>
      <c r="B36" s="14"/>
      <c r="C36" s="14"/>
      <c r="D36" s="14"/>
      <c r="E36" s="42" t="n">
        <f aca="false">F22+E32+E33</f>
        <v>0</v>
      </c>
      <c r="F36" s="42"/>
    </row>
  </sheetData>
  <mergeCells count="35">
    <mergeCell ref="A1:F1"/>
    <mergeCell ref="A2:F2"/>
    <mergeCell ref="A4:F4"/>
    <mergeCell ref="A5:F5"/>
    <mergeCell ref="A6:F6"/>
    <mergeCell ref="A15:F15"/>
    <mergeCell ref="A16:F16"/>
    <mergeCell ref="D17:E17"/>
    <mergeCell ref="D18:E18"/>
    <mergeCell ref="D19:E19"/>
    <mergeCell ref="D20:E20"/>
    <mergeCell ref="D21:E21"/>
    <mergeCell ref="B22:E22"/>
    <mergeCell ref="A24:F24"/>
    <mergeCell ref="A25:C25"/>
    <mergeCell ref="E25:F25"/>
    <mergeCell ref="A26:C26"/>
    <mergeCell ref="E26:F26"/>
    <mergeCell ref="A27:C27"/>
    <mergeCell ref="E27:F27"/>
    <mergeCell ref="A28:C28"/>
    <mergeCell ref="E28:F28"/>
    <mergeCell ref="A29:C29"/>
    <mergeCell ref="E29:F29"/>
    <mergeCell ref="A30:C30"/>
    <mergeCell ref="E30:F30"/>
    <mergeCell ref="A31:C31"/>
    <mergeCell ref="E31:F31"/>
    <mergeCell ref="A32:D32"/>
    <mergeCell ref="E32:F32"/>
    <mergeCell ref="A33:D33"/>
    <mergeCell ref="E33:F33"/>
    <mergeCell ref="A35:F35"/>
    <mergeCell ref="A36:D36"/>
    <mergeCell ref="E36:F36"/>
  </mergeCells>
  <dataValidations count="1">
    <dataValidation allowBlank="true" errorStyle="stop" operator="between" showDropDown="false" showErrorMessage="false" showInputMessage="false" sqref="D26:D31" type="list">
      <formula1>"開発費,運用保守費"</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0"/>
    <col collapsed="false" customWidth="true" hidden="false" outlineLevel="0" max="5" min="3" style="1" width="10"/>
    <col collapsed="false" customWidth="true" hidden="false" outlineLevel="0" max="6" min="6" style="1" width="26"/>
  </cols>
  <sheetData>
    <row r="1" customFormat="false" ht="30" hidden="false" customHeight="true" outlineLevel="0" collapsed="false">
      <c r="A1" s="2" t="s">
        <v>34</v>
      </c>
      <c r="B1" s="2"/>
      <c r="C1" s="2"/>
      <c r="D1" s="2"/>
      <c r="E1" s="2"/>
      <c r="F1" s="2"/>
    </row>
    <row r="2" customFormat="false" ht="18" hidden="false" customHeight="true" outlineLevel="0" collapsed="false">
      <c r="A2" s="43" t="s">
        <v>261</v>
      </c>
      <c r="B2" s="43"/>
      <c r="C2" s="43"/>
      <c r="D2" s="43"/>
      <c r="E2" s="43"/>
      <c r="F2" s="43"/>
    </row>
    <row r="4" customFormat="false" ht="21.75" hidden="false" customHeight="true" outlineLevel="0" collapsed="false">
      <c r="A4" s="4" t="s">
        <v>262</v>
      </c>
      <c r="B4" s="4"/>
      <c r="C4" s="4"/>
      <c r="D4" s="4"/>
      <c r="E4" s="4"/>
      <c r="F4" s="4"/>
    </row>
    <row r="5" customFormat="false" ht="26.85" hidden="false" customHeight="true" outlineLevel="0" collapsed="false">
      <c r="A5" s="15" t="s">
        <v>263</v>
      </c>
      <c r="B5" s="15"/>
      <c r="C5" s="15"/>
      <c r="D5" s="15"/>
      <c r="E5" s="15"/>
      <c r="F5" s="15"/>
    </row>
    <row r="6" customFormat="false" ht="21.75" hidden="false" customHeight="true" outlineLevel="0" collapsed="false">
      <c r="A6" s="4" t="s">
        <v>264</v>
      </c>
      <c r="B6" s="4"/>
      <c r="C6" s="4"/>
      <c r="D6" s="4"/>
      <c r="E6" s="4"/>
      <c r="F6" s="4"/>
    </row>
    <row r="7" customFormat="false" ht="26.85" hidden="false" customHeight="true" outlineLevel="0" collapsed="false">
      <c r="A7" s="15" t="s">
        <v>265</v>
      </c>
      <c r="B7" s="15"/>
      <c r="C7" s="15"/>
      <c r="D7" s="15"/>
      <c r="E7" s="15"/>
      <c r="F7" s="15"/>
    </row>
    <row r="8" customFormat="false" ht="19.5" hidden="false" customHeight="true" outlineLevel="0" collapsed="false">
      <c r="A8" s="7" t="s">
        <v>266</v>
      </c>
      <c r="B8" s="7" t="s">
        <v>267</v>
      </c>
      <c r="C8" s="7" t="s">
        <v>268</v>
      </c>
      <c r="D8" s="7" t="s">
        <v>269</v>
      </c>
      <c r="E8" s="7" t="s">
        <v>270</v>
      </c>
      <c r="F8" s="7" t="s">
        <v>271</v>
      </c>
    </row>
    <row r="9" customFormat="false" ht="25.5" hidden="false" customHeight="true" outlineLevel="0" collapsed="false">
      <c r="A9" s="28" t="s">
        <v>272</v>
      </c>
      <c r="B9" s="28" t="s">
        <v>273</v>
      </c>
      <c r="C9" s="18"/>
      <c r="D9" s="18"/>
      <c r="E9" s="30" t="n">
        <f aca="false">IFERROR((IF(C9="高",3,IF(C9="中",2,IF(C9="低",1,0))))*(IF(D9="高",3,IF(D9="中",2,IF(D9="低",1,0)))),"")</f>
        <v>0</v>
      </c>
      <c r="F9" s="16"/>
    </row>
    <row r="10" customFormat="false" ht="25.5" hidden="false" customHeight="true" outlineLevel="0" collapsed="false">
      <c r="A10" s="28" t="s">
        <v>272</v>
      </c>
      <c r="B10" s="28" t="s">
        <v>274</v>
      </c>
      <c r="C10" s="18"/>
      <c r="D10" s="18"/>
      <c r="E10" s="30" t="n">
        <f aca="false">IFERROR((IF(C10="高",3,IF(C10="中",2,IF(C10="低",1,0))))*(IF(D10="高",3,IF(D10="中",2,IF(D10="低",1,0)))),"")</f>
        <v>0</v>
      </c>
      <c r="F10" s="16"/>
    </row>
    <row r="11" customFormat="false" ht="25.5" hidden="false" customHeight="true" outlineLevel="0" collapsed="false">
      <c r="A11" s="28" t="s">
        <v>275</v>
      </c>
      <c r="B11" s="28" t="s">
        <v>276</v>
      </c>
      <c r="C11" s="18"/>
      <c r="D11" s="18"/>
      <c r="E11" s="30" t="n">
        <f aca="false">IFERROR((IF(C11="高",3,IF(C11="中",2,IF(C11="低",1,0))))*(IF(D11="高",3,IF(D11="中",2,IF(D11="低",1,0)))),"")</f>
        <v>0</v>
      </c>
      <c r="F11" s="16"/>
    </row>
    <row r="12" customFormat="false" ht="25.5" hidden="false" customHeight="true" outlineLevel="0" collapsed="false">
      <c r="A12" s="28" t="s">
        <v>275</v>
      </c>
      <c r="B12" s="28" t="s">
        <v>277</v>
      </c>
      <c r="C12" s="18"/>
      <c r="D12" s="18"/>
      <c r="E12" s="30" t="n">
        <f aca="false">IFERROR((IF(C12="高",3,IF(C12="中",2,IF(C12="低",1,0))))*(IF(D12="高",3,IF(D12="中",2,IF(D12="低",1,0)))),"")</f>
        <v>0</v>
      </c>
      <c r="F12" s="16"/>
    </row>
    <row r="13" customFormat="false" ht="25.5" hidden="false" customHeight="true" outlineLevel="0" collapsed="false">
      <c r="A13" s="28" t="s">
        <v>278</v>
      </c>
      <c r="B13" s="28" t="s">
        <v>279</v>
      </c>
      <c r="C13" s="18"/>
      <c r="D13" s="18"/>
      <c r="E13" s="30" t="n">
        <f aca="false">IFERROR((IF(C13="高",3,IF(C13="中",2,IF(C13="低",1,0))))*(IF(D13="高",3,IF(D13="中",2,IF(D13="低",1,0)))),"")</f>
        <v>0</v>
      </c>
      <c r="F13" s="16"/>
    </row>
    <row r="14" customFormat="false" ht="25.5" hidden="false" customHeight="true" outlineLevel="0" collapsed="false">
      <c r="A14" s="28" t="s">
        <v>280</v>
      </c>
      <c r="B14" s="28" t="s">
        <v>281</v>
      </c>
      <c r="C14" s="18"/>
      <c r="D14" s="18"/>
      <c r="E14" s="30" t="n">
        <f aca="false">IFERROR((IF(C14="高",3,IF(C14="中",2,IF(C14="低",1,0))))*(IF(D14="高",3,IF(D14="中",2,IF(D14="低",1,0)))),"")</f>
        <v>0</v>
      </c>
      <c r="F14" s="16"/>
    </row>
    <row r="15" customFormat="false" ht="25.5" hidden="false" customHeight="true" outlineLevel="0" collapsed="false">
      <c r="A15" s="28" t="s">
        <v>280</v>
      </c>
      <c r="B15" s="28" t="s">
        <v>282</v>
      </c>
      <c r="C15" s="18"/>
      <c r="D15" s="18"/>
      <c r="E15" s="30" t="n">
        <f aca="false">IFERROR((IF(C15="高",3,IF(C15="中",2,IF(C15="低",1,0))))*(IF(D15="高",3,IF(D15="中",2,IF(D15="低",1,0)))),"")</f>
        <v>0</v>
      </c>
      <c r="F15" s="16"/>
    </row>
    <row r="16" customFormat="false" ht="24" hidden="false" customHeight="true" outlineLevel="0" collapsed="false">
      <c r="A16" s="16"/>
      <c r="B16" s="16"/>
      <c r="C16" s="18"/>
      <c r="D16" s="18"/>
      <c r="E16" s="30" t="n">
        <f aca="false">IFERROR((IF(C16="高",3,IF(C16="中",2,IF(C16="低",1,0))))*(IF(D16="高",3,IF(D16="中",2,IF(D16="低",1,0)))),"")</f>
        <v>0</v>
      </c>
      <c r="F16" s="16"/>
    </row>
    <row r="17" customFormat="false" ht="24" hidden="false" customHeight="true" outlineLevel="0" collapsed="false">
      <c r="A17" s="16"/>
      <c r="B17" s="16"/>
      <c r="C17" s="18"/>
      <c r="D17" s="18"/>
      <c r="E17" s="30" t="n">
        <f aca="false">IFERROR((IF(C17="高",3,IF(C17="中",2,IF(C17="低",1,0))))*(IF(D17="高",3,IF(D17="中",2,IF(D17="低",1,0)))),"")</f>
        <v>0</v>
      </c>
      <c r="F17" s="16"/>
    </row>
    <row r="18" customFormat="false" ht="24" hidden="false" customHeight="true" outlineLevel="0" collapsed="false">
      <c r="A18" s="16"/>
      <c r="B18" s="16"/>
      <c r="C18" s="18"/>
      <c r="D18" s="18"/>
      <c r="E18" s="30" t="n">
        <f aca="false">IFERROR((IF(C18="高",3,IF(C18="中",2,IF(C18="低",1,0))))*(IF(D18="高",3,IF(D18="中",2,IF(D18="低",1,0)))),"")</f>
        <v>0</v>
      </c>
      <c r="F18" s="16"/>
    </row>
    <row r="19" customFormat="false" ht="24" hidden="false" customHeight="true" outlineLevel="0" collapsed="false">
      <c r="A19" s="16"/>
      <c r="B19" s="16"/>
      <c r="C19" s="18"/>
      <c r="D19" s="18"/>
      <c r="E19" s="30" t="n">
        <f aca="false">IFERROR((IF(C19="高",3,IF(C19="中",2,IF(C19="低",1,0))))*(IF(D19="高",3,IF(D19="中",2,IF(D19="低",1,0)))),"")</f>
        <v>0</v>
      </c>
      <c r="F19" s="16"/>
    </row>
    <row r="21" customFormat="false" ht="21.75" hidden="false" customHeight="true" outlineLevel="0" collapsed="false">
      <c r="A21" s="4" t="s">
        <v>283</v>
      </c>
      <c r="B21" s="4"/>
      <c r="C21" s="4"/>
      <c r="D21" s="4"/>
      <c r="E21" s="4"/>
      <c r="F21" s="4"/>
    </row>
    <row r="22" customFormat="false" ht="19.5" hidden="false" customHeight="true" outlineLevel="0" collapsed="false">
      <c r="A22" s="7" t="s">
        <v>284</v>
      </c>
      <c r="B22" s="7" t="s">
        <v>7</v>
      </c>
      <c r="C22" s="7"/>
      <c r="D22" s="7"/>
      <c r="E22" s="7"/>
      <c r="F22" s="7"/>
    </row>
    <row r="23" customFormat="false" ht="30" hidden="false" customHeight="true" outlineLevel="0" collapsed="false">
      <c r="A23" s="14" t="s">
        <v>285</v>
      </c>
      <c r="B23" s="23" t="s">
        <v>286</v>
      </c>
      <c r="C23" s="23"/>
      <c r="D23" s="23"/>
      <c r="E23" s="23"/>
      <c r="F23" s="23"/>
    </row>
    <row r="24" customFormat="false" ht="30" hidden="false" customHeight="true" outlineLevel="0" collapsed="false">
      <c r="A24" s="14" t="s">
        <v>287</v>
      </c>
      <c r="B24" s="23" t="s">
        <v>288</v>
      </c>
      <c r="C24" s="23"/>
      <c r="D24" s="23"/>
      <c r="E24" s="23"/>
      <c r="F24" s="23"/>
    </row>
    <row r="25" customFormat="false" ht="30" hidden="false" customHeight="true" outlineLevel="0" collapsed="false">
      <c r="A25" s="14" t="s">
        <v>289</v>
      </c>
      <c r="B25" s="23" t="s">
        <v>290</v>
      </c>
      <c r="C25" s="23"/>
      <c r="D25" s="23"/>
      <c r="E25" s="23"/>
      <c r="F25" s="23"/>
    </row>
  </sheetData>
  <mergeCells count="11">
    <mergeCell ref="A1:F1"/>
    <mergeCell ref="A2:F2"/>
    <mergeCell ref="A4:F4"/>
    <mergeCell ref="A5:F5"/>
    <mergeCell ref="A6:F6"/>
    <mergeCell ref="A7:F7"/>
    <mergeCell ref="A21:F21"/>
    <mergeCell ref="B22:F22"/>
    <mergeCell ref="B23:F23"/>
    <mergeCell ref="B24:F24"/>
    <mergeCell ref="B25:F25"/>
  </mergeCells>
  <dataValidations count="2">
    <dataValidation allowBlank="true" errorStyle="stop" operator="between" showDropDown="false" showErrorMessage="false" showInputMessage="false" sqref="A9:A19" type="list">
      <formula1>"システム・情報管理,費用・スケジュール,コンプライアンス,人に関するリスク"</formula1>
      <formula2>0</formula2>
    </dataValidation>
    <dataValidation allowBlank="true" errorStyle="stop" operator="between" showDropDown="false" showErrorMessage="false" showInputMessage="false" sqref="C9:D19" type="list">
      <formula1>"高,中,低"</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46"/>
    <col collapsed="false" customWidth="true" hidden="false" outlineLevel="0" max="4" min="3" style="1" width="20"/>
  </cols>
  <sheetData>
    <row r="1" customFormat="false" ht="30" hidden="false" customHeight="true" outlineLevel="0" collapsed="false">
      <c r="A1" s="2" t="s">
        <v>291</v>
      </c>
      <c r="B1" s="2"/>
      <c r="C1" s="2"/>
      <c r="D1" s="2"/>
    </row>
    <row r="2" customFormat="false" ht="18" hidden="false" customHeight="true" outlineLevel="0" collapsed="false">
      <c r="A2" s="3" t="s">
        <v>292</v>
      </c>
      <c r="B2" s="3"/>
      <c r="C2" s="3"/>
      <c r="D2" s="3"/>
    </row>
    <row r="4" customFormat="false" ht="21.75" hidden="false" customHeight="true" outlineLevel="0" collapsed="false">
      <c r="A4" s="4" t="s">
        <v>293</v>
      </c>
      <c r="B4" s="4"/>
      <c r="C4" s="4"/>
      <c r="D4" s="4"/>
    </row>
    <row r="5" customFormat="false" ht="19.5" hidden="false" customHeight="true" outlineLevel="0" collapsed="false">
      <c r="A5" s="7" t="s">
        <v>294</v>
      </c>
      <c r="B5" s="7"/>
      <c r="C5" s="7" t="s">
        <v>295</v>
      </c>
      <c r="D5" s="7" t="s">
        <v>296</v>
      </c>
    </row>
    <row r="6" customFormat="false" ht="25.5" hidden="false" customHeight="true" outlineLevel="0" collapsed="false">
      <c r="A6" s="23" t="s">
        <v>297</v>
      </c>
      <c r="B6" s="23"/>
      <c r="C6" s="18"/>
      <c r="D6" s="16"/>
    </row>
    <row r="7" customFormat="false" ht="25.5" hidden="false" customHeight="true" outlineLevel="0" collapsed="false">
      <c r="A7" s="23" t="s">
        <v>298</v>
      </c>
      <c r="B7" s="23"/>
      <c r="C7" s="18"/>
      <c r="D7" s="16"/>
    </row>
    <row r="8" customFormat="false" ht="25.5" hidden="false" customHeight="true" outlineLevel="0" collapsed="false">
      <c r="A8" s="23" t="s">
        <v>299</v>
      </c>
      <c r="B8" s="23"/>
      <c r="C8" s="18"/>
      <c r="D8" s="16"/>
    </row>
    <row r="9" customFormat="false" ht="25.5" hidden="false" customHeight="true" outlineLevel="0" collapsed="false">
      <c r="A9" s="23" t="s">
        <v>300</v>
      </c>
      <c r="B9" s="23"/>
      <c r="C9" s="18"/>
      <c r="D9" s="16"/>
    </row>
    <row r="11" customFormat="false" ht="21.75" hidden="false" customHeight="true" outlineLevel="0" collapsed="false">
      <c r="A11" s="4" t="s">
        <v>301</v>
      </c>
      <c r="B11" s="4"/>
      <c r="C11" s="4"/>
      <c r="D11" s="4"/>
    </row>
    <row r="12" customFormat="false" ht="19.5" hidden="false" customHeight="true" outlineLevel="0" collapsed="false">
      <c r="A12" s="7" t="s">
        <v>302</v>
      </c>
      <c r="B12" s="7" t="s">
        <v>7</v>
      </c>
      <c r="C12" s="7" t="s">
        <v>303</v>
      </c>
      <c r="D12" s="7" t="s">
        <v>137</v>
      </c>
    </row>
    <row r="13" customFormat="false" ht="33.75" hidden="false" customHeight="true" outlineLevel="0" collapsed="false">
      <c r="A13" s="14" t="s">
        <v>304</v>
      </c>
      <c r="B13" s="9" t="s">
        <v>305</v>
      </c>
      <c r="C13" s="24"/>
      <c r="D13" s="18"/>
    </row>
    <row r="14" customFormat="false" ht="33.75" hidden="false" customHeight="true" outlineLevel="0" collapsed="false">
      <c r="A14" s="14" t="s">
        <v>306</v>
      </c>
      <c r="B14" s="9" t="s">
        <v>307</v>
      </c>
      <c r="C14" s="24"/>
      <c r="D14" s="18"/>
    </row>
    <row r="15" customFormat="false" ht="33.75" hidden="false" customHeight="true" outlineLevel="0" collapsed="false">
      <c r="A15" s="14" t="s">
        <v>308</v>
      </c>
      <c r="B15" s="9" t="s">
        <v>309</v>
      </c>
      <c r="C15" s="24"/>
      <c r="D15" s="18"/>
    </row>
    <row r="17" customFormat="false" ht="21.75" hidden="false" customHeight="true" outlineLevel="0" collapsed="false">
      <c r="A17" s="4" t="s">
        <v>310</v>
      </c>
      <c r="B17" s="4"/>
      <c r="C17" s="4"/>
      <c r="D17" s="4"/>
    </row>
    <row r="18" customFormat="false" ht="15" hidden="false" customHeight="true" outlineLevel="0" collapsed="false">
      <c r="A18" s="15" t="s">
        <v>311</v>
      </c>
      <c r="B18" s="15"/>
      <c r="C18" s="15"/>
      <c r="D18" s="15"/>
    </row>
    <row r="19" customFormat="false" ht="19.5" hidden="false" customHeight="true" outlineLevel="0" collapsed="false">
      <c r="A19" s="7" t="s">
        <v>312</v>
      </c>
      <c r="B19" s="7" t="s">
        <v>313</v>
      </c>
      <c r="C19" s="7" t="s">
        <v>314</v>
      </c>
      <c r="D19" s="7" t="s">
        <v>137</v>
      </c>
    </row>
    <row r="20" customFormat="false" ht="25.5" hidden="false" customHeight="true" outlineLevel="0" collapsed="false">
      <c r="A20" s="24"/>
      <c r="B20" s="16"/>
      <c r="C20" s="16"/>
      <c r="D20" s="18"/>
    </row>
    <row r="21" customFormat="false" ht="25.5" hidden="false" customHeight="true" outlineLevel="0" collapsed="false">
      <c r="A21" s="24"/>
      <c r="B21" s="16"/>
      <c r="C21" s="16"/>
      <c r="D21" s="18"/>
    </row>
    <row r="22" customFormat="false" ht="25.5" hidden="false" customHeight="true" outlineLevel="0" collapsed="false">
      <c r="A22" s="24"/>
      <c r="B22" s="16"/>
      <c r="C22" s="16"/>
      <c r="D22" s="18"/>
    </row>
    <row r="23" customFormat="false" ht="25.5" hidden="false" customHeight="true" outlineLevel="0" collapsed="false">
      <c r="A23" s="24"/>
      <c r="B23" s="16"/>
      <c r="C23" s="16"/>
      <c r="D23" s="18"/>
    </row>
    <row r="24" customFormat="false" ht="25.5" hidden="false" customHeight="true" outlineLevel="0" collapsed="false">
      <c r="A24" s="24"/>
      <c r="B24" s="16"/>
      <c r="C24" s="16"/>
      <c r="D24" s="18"/>
    </row>
    <row r="26" customFormat="false" ht="15" hidden="false" customHeight="true" outlineLevel="0" collapsed="false">
      <c r="A26" s="15" t="s">
        <v>315</v>
      </c>
      <c r="B26" s="15"/>
      <c r="C26" s="15"/>
      <c r="D26" s="15"/>
    </row>
  </sheetData>
  <mergeCells count="12">
    <mergeCell ref="A1:D1"/>
    <mergeCell ref="A2:D2"/>
    <mergeCell ref="A4:D4"/>
    <mergeCell ref="A5:B5"/>
    <mergeCell ref="A6:B6"/>
    <mergeCell ref="A7:B7"/>
    <mergeCell ref="A8:B8"/>
    <mergeCell ref="A9:B9"/>
    <mergeCell ref="A11:D11"/>
    <mergeCell ref="A17:D17"/>
    <mergeCell ref="A18:D18"/>
    <mergeCell ref="A26:D26"/>
  </mergeCells>
  <dataValidations count="3">
    <dataValidation allowBlank="true" errorStyle="stop" operator="between" showDropDown="false" showErrorMessage="false" showInputMessage="false" sqref="C6:C9" type="list">
      <formula1>"できている,意識中,要改善"</formula1>
      <formula2>0</formula2>
    </dataValidation>
    <dataValidation allowBlank="true" errorStyle="stop" operator="between" showDropDown="false" showErrorMessage="false" showInputMessage="false" sqref="D13:D15" type="list">
      <formula1>"未実施,計画中,実施済み"</formula1>
      <formula2>0</formula2>
    </dataValidation>
    <dataValidation allowBlank="true" errorStyle="stop" operator="between" showDropDown="false" showErrorMessage="false" showInputMessage="false" sqref="D20:D24" type="list">
      <formula1>"対応中,解消済み,経過観察"</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2026-08-29T04:26:06Z</dcterms:created>
  <dc:creator>openpyxl</dc:creator>
  <dc:description/>
  <dc:language>en-US</dc:language>
  <cp:lastModifiedBy/>
  <dcterms:modified xsi:type="dcterms:W3CDTF">2026-08-29T04:26:06Z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