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使い方" sheetId="1" state="visible" r:id="rId3"/>
    <sheet name="①前提_収益モデル" sheetId="2" state="visible" r:id="rId4"/>
    <sheet name="②BMキャンバス" sheetId="3" state="visible" r:id="rId5"/>
    <sheet name="③コスト_採算" sheetId="4" state="visible" r:id="rId6"/>
    <sheet name="④運用フロー" sheetId="5" state="visible" r:id="rId7"/>
    <sheet name="⑤業務フロー構成" sheetId="6" state="visible" r:id="rId8"/>
    <sheet name="⑥導入計画書" sheetId="7" state="visible" r:id="rId9"/>
    <sheet name="②-2 BMCサマリー" sheetId="8" state="visible" r:id="rId10"/>
    <sheet name="プロンプト集"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<sst xmlns="http://schemas.openxmlformats.org/spreadsheetml/2006/main" count="518" uniqueCount="435">
  <si>
    <t xml:space="preserve">ビジネス収益化・運用 整理用テンプレート</t>
  </si>
  <si>
    <t xml:space="preserve">ビジネスの収益化と運用を生成AIといっしょに考えよう（マナビDXクエスト）の学習内容をもとにした実務用ワークシート集</t>
  </si>
  <si>
    <t xml:space="preserve">■ このテンプレートの目的</t>
  </si>
  <si>
    <t xml:space="preserve">本テンプレートは、マナビDXクエストの講座「ビジネスの収益化と運用を生成AIといっしょに考えよう」（全5章）で学ぶ、収益モデルの検討 → ビジネスモデルキャンバスの作成 → コスト構造の検証 → 運用フローの設計 → 導入計画書の完成、という一連の流れを、実際の事業検討の場で使える形にシート化したものです。生成AIとの壁打ちで得た内容を各シートに整理しながら、最終的に1枚の「導入計画書」にまとめていく構成になっています。</t>
  </si>
  <si>
    <t xml:space="preserve">■ シート構成（学習した章との対応）</t>
  </si>
  <si>
    <t xml:space="preserve">No</t>
  </si>
  <si>
    <t xml:space="preserve">シート名</t>
  </si>
  <si>
    <t xml:space="preserve">内容</t>
  </si>
  <si>
    <t xml:space="preserve">対応する章</t>
  </si>
  <si>
    <t xml:space="preserve">1</t>
  </si>
  <si>
    <t xml:space="preserve">①ビジネス前提・収益モデル</t>
  </si>
  <si>
    <t xml:space="preserve">ターゲット・課題・提供価値・想定規模を整理し、5つの収益モデルから自社に合うものを比較検討する</t>
  </si>
  <si>
    <r>
      <rPr>
        <sz val="10"/>
        <color rgb="FF000000"/>
        <rFont val="Yu Gothic"/>
        <family val="0"/>
        <charset val="1"/>
      </rPr>
      <t xml:space="preserve">1</t>
    </r>
    <r>
      <rPr>
        <sz val="10"/>
        <color rgb="FF000000"/>
        <rFont val="Noto Sans CJK SC"/>
        <family val="2"/>
      </rPr>
      <t xml:space="preserve">章</t>
    </r>
  </si>
  <si>
    <t xml:space="preserve">2</t>
  </si>
  <si>
    <t xml:space="preserve">②ビジネスモデルキャンバス</t>
  </si>
  <si>
    <r>
      <rPr>
        <sz val="10"/>
        <color rgb="FF000000"/>
        <rFont val="Yu Gothic"/>
        <family val="0"/>
        <charset val="1"/>
      </rPr>
      <t xml:space="preserve">9</t>
    </r>
    <r>
      <rPr>
        <sz val="10"/>
        <color rgb="FF000000"/>
        <rFont val="Noto Sans CJK SC"/>
        <family val="2"/>
      </rPr>
      <t xml:space="preserve">つの要素を実物のキャンバスに近いレイアウトで書き込み、</t>
    </r>
    <r>
      <rPr>
        <sz val="10"/>
        <color rgb="FF000000"/>
        <rFont val="Yu Gothic"/>
        <family val="0"/>
        <charset val="1"/>
      </rPr>
      <t xml:space="preserve">AI</t>
    </r>
    <r>
      <rPr>
        <sz val="10"/>
        <color rgb="FF000000"/>
        <rFont val="Noto Sans CJK SC"/>
        <family val="2"/>
      </rPr>
      <t xml:space="preserve">出力の評価観点で見直す</t>
    </r>
  </si>
  <si>
    <r>
      <rPr>
        <sz val="10"/>
        <color rgb="FF000000"/>
        <rFont val="Yu Gothic"/>
        <family val="0"/>
        <charset val="1"/>
      </rPr>
      <t xml:space="preserve">2</t>
    </r>
    <r>
      <rPr>
        <sz val="10"/>
        <color rgb="FF000000"/>
        <rFont val="Noto Sans CJK SC"/>
        <family val="2"/>
      </rPr>
      <t xml:space="preserve">・</t>
    </r>
    <r>
      <rPr>
        <sz val="10"/>
        <color rgb="FF000000"/>
        <rFont val="Yu Gothic"/>
        <family val="0"/>
        <charset val="1"/>
      </rPr>
      <t xml:space="preserve">4</t>
    </r>
    <r>
      <rPr>
        <sz val="10"/>
        <color rgb="FF000000"/>
        <rFont val="Noto Sans CJK SC"/>
        <family val="2"/>
      </rPr>
      <t xml:space="preserve">章</t>
    </r>
  </si>
  <si>
    <t xml:space="preserve">3</t>
  </si>
  <si>
    <t xml:space="preserve">③コスト構造・採算検証</t>
  </si>
  <si>
    <r>
      <rPr>
        <sz val="10"/>
        <color rgb="FF000000"/>
        <rFont val="Yu Gothic"/>
        <family val="0"/>
        <charset val="1"/>
      </rPr>
      <t xml:space="preserve">AI</t>
    </r>
    <r>
      <rPr>
        <sz val="10"/>
        <color rgb="FF000000"/>
        <rFont val="Noto Sans CJK SC"/>
        <family val="2"/>
      </rPr>
      <t xml:space="preserve">サービス特有のランニングコストを洗い出し、簡易シミュレーションで採算ラインを確認する（数式付き）</t>
    </r>
  </si>
  <si>
    <r>
      <rPr>
        <sz val="10"/>
        <color rgb="FF000000"/>
        <rFont val="Yu Gothic"/>
        <family val="0"/>
        <charset val="1"/>
      </rPr>
      <t xml:space="preserve">1</t>
    </r>
    <r>
      <rPr>
        <sz val="10"/>
        <color rgb="FF000000"/>
        <rFont val="Noto Sans CJK SC"/>
        <family val="2"/>
      </rPr>
      <t xml:space="preserve">・</t>
    </r>
    <r>
      <rPr>
        <sz val="10"/>
        <color rgb="FF000000"/>
        <rFont val="Yu Gothic"/>
        <family val="0"/>
        <charset val="1"/>
      </rPr>
      <t xml:space="preserve">4</t>
    </r>
    <r>
      <rPr>
        <sz val="10"/>
        <color rgb="FF000000"/>
        <rFont val="Noto Sans CJK SC"/>
        <family val="2"/>
      </rPr>
      <t xml:space="preserve">章</t>
    </r>
  </si>
  <si>
    <t xml:space="preserve">4</t>
  </si>
  <si>
    <t xml:space="preserve">④運用フロー設計</t>
  </si>
  <si>
    <t xml:space="preserve">運用業務4カテゴリのタスク一覧、インシデント対応フロー、個人情報保護のチェックを整理する</t>
  </si>
  <si>
    <r>
      <rPr>
        <sz val="10"/>
        <color rgb="FF000000"/>
        <rFont val="Yu Gothic"/>
        <family val="0"/>
        <charset val="1"/>
      </rPr>
      <t xml:space="preserve">3</t>
    </r>
    <r>
      <rPr>
        <sz val="10"/>
        <color rgb="FF000000"/>
        <rFont val="Noto Sans CJK SC"/>
        <family val="2"/>
      </rPr>
      <t xml:space="preserve">章</t>
    </r>
  </si>
  <si>
    <t xml:space="preserve">5</t>
  </si>
  <si>
    <t xml:space="preserve">⑤業務フロー図構成案</t>
  </si>
  <si>
    <t xml:space="preserve">業務フローを「順序・役割分担・判断分岐」の3要素で書き出し、レビューチェックリストで抜け漏れを確認する</t>
  </si>
  <si>
    <t xml:space="preserve">6</t>
  </si>
  <si>
    <t xml:space="preserve">⑥導入計画書</t>
  </si>
  <si>
    <t xml:space="preserve">サービス概要・課題と価値・収益とコスト・運用体制・ロードマップの5構成で完成版をまとめる（更新履歴付き）</t>
  </si>
  <si>
    <r>
      <rPr>
        <sz val="10"/>
        <color rgb="FF000000"/>
        <rFont val="Yu Gothic"/>
        <family val="0"/>
        <charset val="1"/>
      </rPr>
      <t xml:space="preserve">4</t>
    </r>
    <r>
      <rPr>
        <sz val="10"/>
        <color rgb="FF000000"/>
        <rFont val="Noto Sans CJK SC"/>
        <family val="2"/>
      </rPr>
      <t xml:space="preserve">・</t>
    </r>
    <r>
      <rPr>
        <sz val="10"/>
        <color rgb="FF000000"/>
        <rFont val="Yu Gothic"/>
        <family val="0"/>
        <charset val="1"/>
      </rPr>
      <t xml:space="preserve">5</t>
    </r>
    <r>
      <rPr>
        <sz val="10"/>
        <color rgb="FF000000"/>
        <rFont val="Noto Sans CJK SC"/>
        <family val="2"/>
      </rPr>
      <t xml:space="preserve">章</t>
    </r>
  </si>
  <si>
    <t xml:space="preserve">7</t>
  </si>
  <si>
    <t xml:space="preserve">プロンプト集</t>
  </si>
  <si>
    <t xml:space="preserve">各章で紹介された、生成AIに投げるプロンプトのテンプレート集（コピーして使える）</t>
  </si>
  <si>
    <r>
      <rPr>
        <sz val="10"/>
        <color rgb="FF000000"/>
        <rFont val="Yu Gothic"/>
        <family val="0"/>
        <charset val="1"/>
      </rPr>
      <t xml:space="preserve">1</t>
    </r>
    <r>
      <rPr>
        <sz val="10"/>
        <color rgb="FF000000"/>
        <rFont val="Noto Sans CJK SC"/>
        <family val="2"/>
      </rPr>
      <t xml:space="preserve">〜</t>
    </r>
    <r>
      <rPr>
        <sz val="10"/>
        <color rgb="FF000000"/>
        <rFont val="Yu Gothic"/>
        <family val="0"/>
        <charset val="1"/>
      </rPr>
      <t xml:space="preserve">5</t>
    </r>
    <r>
      <rPr>
        <sz val="10"/>
        <color rgb="FF000000"/>
        <rFont val="Noto Sans CJK SC"/>
        <family val="2"/>
      </rPr>
      <t xml:space="preserve">章</t>
    </r>
  </si>
  <si>
    <t xml:space="preserve">■ 使い方の凡例</t>
  </si>
  <si>
    <t xml:space="preserve">黄色の背景セル</t>
  </si>
  <si>
    <t xml:space="preserve">ここに記入してください（自由記述欄）</t>
  </si>
  <si>
    <t xml:space="preserve">グレー・斜体の文字</t>
  </si>
  <si>
    <t xml:space="preserve">記入例（イメージをつかむためのサンプルです。ご自身の内容に書き換えてください）</t>
  </si>
  <si>
    <t xml:space="preserve">薄い青の背景セル</t>
  </si>
  <si>
    <t xml:space="preserve">自動計算セル（数式が入っています。式が入っているセルは直接編集しないでください）</t>
  </si>
  <si>
    <t xml:space="preserve">プルダウン付きセル</t>
  </si>
  <si>
    <t xml:space="preserve">評価（高・中・低）や実施頻度などはリストから選択できます</t>
  </si>
  <si>
    <t xml:space="preserve">■ 進め方の目安</t>
  </si>
  <si>
    <r>
      <rPr>
        <sz val="10"/>
        <color rgb="FF000000"/>
        <rFont val="Yu Gothic"/>
        <family val="0"/>
        <charset val="1"/>
      </rPr>
      <t xml:space="preserve">STEP1</t>
    </r>
    <r>
      <rPr>
        <sz val="10"/>
        <color rgb="FF000000"/>
        <rFont val="Noto Sans CJK SC"/>
        <family val="2"/>
      </rPr>
      <t xml:space="preserve">　「①ビジネス前提・収益モデル」で、誰のどんな課題をどう解決するか、どの収益モデルが合うかを整理する</t>
    </r>
  </si>
  <si>
    <r>
      <rPr>
        <sz val="10"/>
        <color rgb="FF000000"/>
        <rFont val="Yu Gothic"/>
        <family val="0"/>
        <charset val="1"/>
      </rPr>
      <t xml:space="preserve">STEP2</t>
    </r>
    <r>
      <rPr>
        <sz val="10"/>
        <color rgb="FF000000"/>
        <rFont val="Noto Sans CJK SC"/>
        <family val="2"/>
      </rPr>
      <t xml:space="preserve">　「②ビジネスモデルキャンバス」で生成</t>
    </r>
    <r>
      <rPr>
        <sz val="10"/>
        <color rgb="FF000000"/>
        <rFont val="Yu Gothic"/>
        <family val="0"/>
        <charset val="1"/>
      </rPr>
      <t xml:space="preserve">AI</t>
    </r>
    <r>
      <rPr>
        <sz val="10"/>
        <color rgb="FF000000"/>
        <rFont val="Noto Sans CJK SC"/>
        <family val="2"/>
      </rPr>
      <t xml:space="preserve">と壁打ちしながら</t>
    </r>
    <r>
      <rPr>
        <sz val="10"/>
        <color rgb="FF000000"/>
        <rFont val="Yu Gothic"/>
        <family val="0"/>
        <charset val="1"/>
      </rPr>
      <t xml:space="preserve">9</t>
    </r>
    <r>
      <rPr>
        <sz val="10"/>
        <color rgb="FF000000"/>
        <rFont val="Noto Sans CJK SC"/>
        <family val="2"/>
      </rPr>
      <t xml:space="preserve">要素を埋め、市場適合性・実現可能性・収益性で見直す</t>
    </r>
  </si>
  <si>
    <r>
      <rPr>
        <sz val="10"/>
        <color rgb="FF000000"/>
        <rFont val="Yu Gothic"/>
        <family val="0"/>
        <charset val="1"/>
      </rPr>
      <t xml:space="preserve">STEP3</t>
    </r>
    <r>
      <rPr>
        <sz val="10"/>
        <color rgb="FF000000"/>
        <rFont val="Noto Sans CJK SC"/>
        <family val="2"/>
      </rPr>
      <t xml:space="preserve">　「③コスト構造・採算検証」で</t>
    </r>
    <r>
      <rPr>
        <sz val="10"/>
        <color rgb="FF000000"/>
        <rFont val="Yu Gothic"/>
        <family val="0"/>
        <charset val="1"/>
      </rPr>
      <t xml:space="preserve">AI</t>
    </r>
    <r>
      <rPr>
        <sz val="10"/>
        <color rgb="FF000000"/>
        <rFont val="Noto Sans CJK SC"/>
        <family val="2"/>
      </rPr>
      <t xml:space="preserve">特有のランニングコストを見積もり、月額料金で採算が取れるかを試算する</t>
    </r>
  </si>
  <si>
    <r>
      <rPr>
        <sz val="10"/>
        <color rgb="FF000000"/>
        <rFont val="Yu Gothic"/>
        <family val="0"/>
        <charset val="1"/>
      </rPr>
      <t xml:space="preserve">STEP4</t>
    </r>
    <r>
      <rPr>
        <sz val="10"/>
        <color rgb="FF000000"/>
        <rFont val="Noto Sans CJK SC"/>
        <family val="2"/>
      </rPr>
      <t xml:space="preserve">　「④運用フロー設計」で運用タスクを洗い出し、担当者・ツール・頻度を整理する</t>
    </r>
  </si>
  <si>
    <r>
      <rPr>
        <sz val="10"/>
        <color rgb="FF000000"/>
        <rFont val="Yu Gothic"/>
        <family val="0"/>
        <charset val="1"/>
      </rPr>
      <t xml:space="preserve">STEP5</t>
    </r>
    <r>
      <rPr>
        <sz val="10"/>
        <color rgb="FF000000"/>
        <rFont val="Noto Sans CJK SC"/>
        <family val="2"/>
      </rPr>
      <t xml:space="preserve">　「⑤業務フロー図構成案」で主要な業務の流れを図として設計し、レビューチェックリストで確認する</t>
    </r>
  </si>
  <si>
    <r>
      <rPr>
        <sz val="10"/>
        <color rgb="FF000000"/>
        <rFont val="Yu Gothic"/>
        <family val="0"/>
        <charset val="1"/>
      </rPr>
      <t xml:space="preserve">STEP6</t>
    </r>
    <r>
      <rPr>
        <sz val="10"/>
        <color rgb="FF000000"/>
        <rFont val="Noto Sans CJK SC"/>
        <family val="2"/>
      </rPr>
      <t xml:space="preserve">　「⑥導入計画書」に全ての内容を統合し、「プロンプト集」を各</t>
    </r>
    <r>
      <rPr>
        <sz val="10"/>
        <color rgb="FF000000"/>
        <rFont val="Yu Gothic"/>
        <family val="0"/>
        <charset val="1"/>
      </rPr>
      <t xml:space="preserve">STEP</t>
    </r>
    <r>
      <rPr>
        <sz val="10"/>
        <color rgb="FF000000"/>
        <rFont val="Noto Sans CJK SC"/>
        <family val="2"/>
      </rPr>
      <t xml:space="preserve">で生成</t>
    </r>
    <r>
      <rPr>
        <sz val="10"/>
        <color rgb="FF000000"/>
        <rFont val="Yu Gothic"/>
        <family val="0"/>
        <charset val="1"/>
      </rPr>
      <t xml:space="preserve">AI</t>
    </r>
    <r>
      <rPr>
        <sz val="10"/>
        <color rgb="FF000000"/>
        <rFont val="Noto Sans CJK SC"/>
        <family val="2"/>
      </rPr>
      <t xml:space="preserve">に投げるひな形として活用する</t>
    </r>
  </si>
  <si>
    <t xml:space="preserve">① ビジネス前提・収益モデルの検討</t>
  </si>
  <si>
    <r>
      <rPr>
        <i val="true"/>
        <sz val="10"/>
        <color rgb="FF595959"/>
        <rFont val="Yu Gothic"/>
        <family val="0"/>
        <charset val="1"/>
      </rPr>
      <t xml:space="preserve">1</t>
    </r>
    <r>
      <rPr>
        <i val="true"/>
        <sz val="10"/>
        <color rgb="FF595959"/>
        <rFont val="Noto Sans CJK SC"/>
        <family val="2"/>
      </rPr>
      <t xml:space="preserve">章：誰のどんな課題を、どう解決し、どうやって利益を得るかを整理する</t>
    </r>
  </si>
  <si>
    <t xml:space="preserve">■ ビジネスの前提条件</t>
  </si>
  <si>
    <t xml:space="preserve">項目</t>
  </si>
  <si>
    <t xml:space="preserve">内容（ここに記入）</t>
  </si>
  <si>
    <t xml:space="preserve">ターゲット</t>
  </si>
  <si>
    <t xml:space="preserve">幅広い一般消費者。特に「日々の家計や働き方に漠然としたモヤモヤを感じている20〜50代の会社員・主婦層」を初期のコアユーザーとして想定</t>
  </si>
  <si>
    <t xml:space="preserve">解決する課題</t>
  </si>
  <si>
    <t xml:space="preserve">「手取りを増やす情報（節約・副業・制度活用）」と「幸福度・価値観を高める情報」がそれぞれバラバラなメディアに散在しており、自分に合った組み合わせを見つけられない</t>
  </si>
  <si>
    <t xml:space="preserve">提供する価値</t>
  </si>
  <si>
    <t xml:space="preserve">実体験を核とし、AIは「答えを出す役」ではなく状況に近い体験談を見つける道案内役に徹する。立ち上げ期はAI編集部による一般的な目安記事で埋め、実体験投稿が増えるにつれて「体験談ファースト」の設計に移行する</t>
  </si>
  <si>
    <t xml:space="preserve">想定する規模</t>
  </si>
  <si>
    <t xml:space="preserve">個人向け(BtoC)。初年度は月間アクティブユーザー数万人規模を想定し、将来的には法人の福利厚生プランへの展開も視野に入れる</t>
  </si>
  <si>
    <t xml:space="preserve">■ コスト構造の基本（費用の種類）</t>
  </si>
  <si>
    <t xml:space="preserve">主な費用</t>
  </si>
  <si>
    <t xml:space="preserve">概要</t>
  </si>
  <si>
    <t xml:space="preserve">材料費</t>
  </si>
  <si>
    <t xml:space="preserve">製品やサービスを作るために必要な原材料や部品にかかる費用</t>
  </si>
  <si>
    <t xml:space="preserve">人件費</t>
  </si>
  <si>
    <t xml:space="preserve">従業員の給与や社会保険料など、人を雇うためにかかる費用</t>
  </si>
  <si>
    <t xml:space="preserve">チャネル維持費</t>
  </si>
  <si>
    <t xml:space="preserve">顧客に製品を届けるための販売経路や流通網を維持するためにかかる費用</t>
  </si>
  <si>
    <t xml:space="preserve">■ 収益モデルの比較検討</t>
  </si>
  <si>
    <t xml:space="preserve">顧客の利用頻度・予算感・提供価値の性質をふまえ、各モデルの自社への適合度を評価しましょう</t>
  </si>
  <si>
    <t xml:space="preserve">収益モデル</t>
  </si>
  <si>
    <t xml:space="preserve">適合度
(高/中/低)</t>
  </si>
  <si>
    <t xml:space="preserve">メリット</t>
  </si>
  <si>
    <t xml:space="preserve">デメリット・注意点</t>
  </si>
  <si>
    <t xml:space="preserve">売り切りモデル</t>
  </si>
  <si>
    <t xml:space="preserve">製品やサービスを一度だけ販売して対価を得る仕組み</t>
  </si>
  <si>
    <t xml:space="preserve">低</t>
  </si>
  <si>
    <r>
      <rPr>
        <sz val="10"/>
        <color rgb="FF000000"/>
        <rFont val="Yu Gothic"/>
        <family val="0"/>
        <charset val="1"/>
      </rPr>
      <t xml:space="preserve">1</t>
    </r>
    <r>
      <rPr>
        <sz val="10"/>
        <color rgb="FF000000"/>
        <rFont val="Noto Sans CJK SC"/>
        <family val="2"/>
      </rPr>
      <t xml:space="preserve">回で回収できる、シンプルでわかりやすい</t>
    </r>
  </si>
  <si>
    <t xml:space="preserve">継続収益がなく、次の販売先を常に探す必要がある</t>
  </si>
  <si>
    <t xml:space="preserve">サブスクリプション</t>
  </si>
  <si>
    <t xml:space="preserve">毎月や毎年など定額の料金を支払うことで有料版のサービスを利用し続けられる仕組み</t>
  </si>
  <si>
    <t xml:space="preserve">中</t>
  </si>
  <si>
    <t xml:space="preserve">収益の見通しが立てやすく、継続的な関係を築ける</t>
  </si>
  <si>
    <t xml:space="preserve">初期の解約リスクが高く、価値を実感してもらう工夫が必要</t>
  </si>
  <si>
    <t xml:space="preserve">フリーミアム</t>
  </si>
  <si>
    <t xml:space="preserve">基本的な機能は無料で提供し、高度な機能を利用する一部のユーザーから料金を支払ってもらう仕組み</t>
  </si>
  <si>
    <t xml:space="preserve">高</t>
  </si>
  <si>
    <t xml:space="preserve">導入のハードルが低く、多くのユーザーを獲得しやすい</t>
  </si>
  <si>
    <t xml:space="preserve">無料利用で満足されると有料転換までに時間とコストがかかる</t>
  </si>
  <si>
    <t xml:space="preserve">広告モデル</t>
  </si>
  <si>
    <t xml:space="preserve">サービス自体は無料で提供し、広告主からの掲載料で利益を得る仕組み</t>
  </si>
  <si>
    <t xml:space="preserve">ユーザーは無料で使えるため利用者数を増やしやすい</t>
  </si>
  <si>
    <t xml:space="preserve">十分な利用者数・閲覧数がないと収益化しにくい</t>
  </si>
  <si>
    <t xml:space="preserve">従量課金</t>
  </si>
  <si>
    <t xml:space="preserve">利用したデータ量や時間に応じて料金が変動する仕組み</t>
  </si>
  <si>
    <t xml:space="preserve">使った分だけの支払いのため顧客が試しやすい</t>
  </si>
  <si>
    <t xml:space="preserve">月ごとの収益が変動し、収支の見通しが立てにくい</t>
  </si>
  <si>
    <t xml:space="preserve">■ 選択した収益モデルと理由</t>
  </si>
  <si>
    <t xml:space="preserve">フリーミアムを軸に、体験談投稿・閲覧・コメントは無料開放。収支シミュレーションの結果、収益の約86%をアフィリエイト送客手数料が占め、広告は補助的な位置づけと判明したため、アフィリエイトを主軸に据える。個人開発でエンジニア人件費が0円、かつコメント機能をリアルタイム通信（WebSocket等）ではなく通常のCRUDで設計することでサーバーレス構成の低コストを維持できるため、損益分岐点はMAU千人規模まで下がる見込み。将来モデレーション業務が個人の工数を超えた時点で人件費が発生する前提は残る</t>
  </si>
  <si>
    <t xml:space="preserve">② ビジネスモデルキャンバス（9要素）</t>
  </si>
  <si>
    <r>
      <rPr>
        <i val="true"/>
        <sz val="10"/>
        <color rgb="FF595959"/>
        <rFont val="Yu Gothic"/>
        <family val="0"/>
        <charset val="1"/>
      </rPr>
      <t xml:space="preserve">2</t>
    </r>
    <r>
      <rPr>
        <i val="true"/>
        <sz val="10"/>
        <color rgb="FF595959"/>
        <rFont val="Noto Sans CJK SC"/>
        <family val="2"/>
      </rPr>
      <t xml:space="preserve">・</t>
    </r>
    <r>
      <rPr>
        <i val="true"/>
        <sz val="10"/>
        <color rgb="FF595959"/>
        <rFont val="Yu Gothic"/>
        <family val="0"/>
        <charset val="1"/>
      </rPr>
      <t xml:space="preserve">4</t>
    </r>
    <r>
      <rPr>
        <i val="true"/>
        <sz val="10"/>
        <color rgb="FF595959"/>
        <rFont val="Noto Sans CJK SC"/>
        <family val="2"/>
      </rPr>
      <t xml:space="preserve">章：ビジネスの全体像を</t>
    </r>
    <r>
      <rPr>
        <i val="true"/>
        <sz val="10"/>
        <color rgb="FF595959"/>
        <rFont val="Yu Gothic"/>
        <family val="0"/>
        <charset val="1"/>
      </rPr>
      <t xml:space="preserve">1</t>
    </r>
    <r>
      <rPr>
        <i val="true"/>
        <sz val="10"/>
        <color rgb="FF595959"/>
        <rFont val="Noto Sans CJK SC"/>
        <family val="2"/>
      </rPr>
      <t xml:space="preserve">枚の図に整理し、要素間の整合性を確認する</t>
    </r>
  </si>
  <si>
    <t xml:space="preserve">生成AIへの依頼例：「以下のビジネスアイデアをもとに、ビジネスモデルキャンバスの9つの要素をそれぞれ具体的に提案してください」</t>
  </si>
  <si>
    <t xml:space="preserve">⑧ 主要パートナー</t>
  </si>
  <si>
    <t xml:space="preserve">⑦ 主要な活動</t>
  </si>
  <si>
    <t xml:space="preserve">② 価値提案</t>
  </si>
  <si>
    <t xml:space="preserve">④ 顧客との関係</t>
  </si>
  <si>
    <t xml:space="preserve">① 顧客セグメント</t>
  </si>
  <si>
    <t xml:space="preserve">家計相談・FP事務所、副業マッチングサービス、保険見直し窓口、ふるさと納税サイト、心理・キャリアカウンセラー</t>
  </si>
  <si>
    <t xml:space="preserve">体験談投稿の収集・モデレーション、状況タグの設計、AIマッチング（レコメンド）ロジックの開発、立ち上げ期のAI生成シード記事の制作、コメント欄を含むコミュニティの健全性維持</t>
  </si>
  <si>
    <t xml:space="preserve">実体験に基づく「自分と近い状況の人のリアルな知恵」を、AIが探しやすくして届ける。一般論（相場感）と実体験を並べて見せ、そのギャップ自体も気づきとして提供する</t>
  </si>
  <si>
    <t xml:space="preserve">体験談への共感・コメントを通じた双方向のやり取り、状況が近いユーザー同士のゆるいつながり</t>
  </si>
  <si>
    <t xml:space="preserve">日々の家計や働き方に漠然とした不満・モヤモヤを感じている20〜50代の会社員・主婦層（専門知識のない一般消費者）</t>
  </si>
  <si>
    <t xml:space="preserve">⑥ 主要な資源</t>
  </si>
  <si>
    <t xml:space="preserve">③ チャネル</t>
  </si>
  <si>
    <t xml:space="preserve">蓄積された体験談・状況タグデータ、AIマッチングロジック、モデレーション体制、初期のシード記事ライブラリ</t>
  </si>
  <si>
    <t xml:space="preserve">自社Webサイト・アプリ、SNS（Instagram／X／YouTube）、SEO記事、提携メディアとのタイアップ</t>
  </si>
  <si>
    <t xml:space="preserve">⑨ コスト構造</t>
  </si>
  <si>
    <t xml:space="preserve">⑤ 収益の流れ</t>
  </si>
  <si>
    <t xml:space="preserve">AIモデレーション・マッチングのAPI利用料、サーバーレスホスティング費（Vercel＋Supabase等）、一般論記事の定期更新にかかる時間コスト（個人開発のため金銭コストは0円）</t>
  </si>
  <si>
    <t xml:space="preserve">フリーミアム（状況マッチング精度向上・専門家レビュー閲覧の有料プラン）＋コミュニティのPV・滞在時間を活かした広告収益＋提携先への送客手数料（アフィリエイト）</t>
  </si>
  <si>
    <t xml:space="preserve">■ 整合性チェック（矛盾・抜け漏れがないか）</t>
  </si>
  <si>
    <t xml:space="preserve">□ 「提供価値」と「収益の流れ」が噛み合っているか</t>
  </si>
  <si>
    <t xml:space="preserve">無料の体験談投稿・閲覧で価値を実感してもらった上で、マッチング精度向上や専門家レビューの有料プランへ自然につながる設計になっている</t>
  </si>
  <si>
    <t xml:space="preserve">□ 「主要な活動」と「コスト構造」に矛盾がないか</t>
  </si>
  <si>
    <t xml:space="preserve">AIマッチングロジックの継続改善とコンテンツ・モデレーション運営が主活動であり、それに対応する生成AI利用料・サーバーレスホスティング費がコスト構造に反映されている</t>
  </si>
  <si>
    <t xml:space="preserve">□ 「顧客セグメント」と「チャネル」が対応しているか</t>
  </si>
  <si>
    <t xml:space="preserve">幅広い一般消費者層に対し、SNSやSEO記事など認知獲得コストの低いチャネルを中心に設計しており対応している</t>
  </si>
  <si>
    <t xml:space="preserve">□ 「顧客との関係」と「提供価値」の方向性が一致しているか</t>
  </si>
  <si>
    <t xml:space="preserve">継続的な投稿・コメントのやり取りとコミュニティ運営により、単発でなく伴走型の価値提供という方向性が一致している</t>
  </si>
  <si>
    <t xml:space="preserve">□ 「主要な資源」が「主要な活動」を支えられる規模になっているか</t>
  </si>
  <si>
    <t xml:space="preserve">初期は小規模なモデレーション体制と生成AIのシード記事で立ち上げ可能だが、投稿数が増えるにつれてモデレーター増員とAIマッチング精度向上のための専門人材確保が課題になる可能性がある</t>
  </si>
  <si>
    <r>
      <rPr>
        <b val="true"/>
        <sz val="11"/>
        <color rgb="FF1F4E78"/>
        <rFont val="Yu Gothic"/>
        <family val="0"/>
        <charset val="1"/>
      </rPr>
      <t xml:space="preserve">■ AI</t>
    </r>
    <r>
      <rPr>
        <b val="true"/>
        <sz val="11"/>
        <color rgb="FF1F4E78"/>
        <rFont val="Noto Sans CJK SC"/>
        <family val="2"/>
      </rPr>
      <t xml:space="preserve">出力を評価する</t>
    </r>
    <r>
      <rPr>
        <b val="true"/>
        <sz val="11"/>
        <color rgb="FF1F4E78"/>
        <rFont val="Yu Gothic"/>
        <family val="0"/>
        <charset val="1"/>
      </rPr>
      <t xml:space="preserve">3</t>
    </r>
    <r>
      <rPr>
        <b val="true"/>
        <sz val="11"/>
        <color rgb="FF1F4E78"/>
        <rFont val="Noto Sans CJK SC"/>
        <family val="2"/>
      </rPr>
      <t xml:space="preserve">つの観点</t>
    </r>
  </si>
  <si>
    <t xml:space="preserve">評価の観点</t>
  </si>
  <si>
    <t xml:space="preserve">確認すること</t>
  </si>
  <si>
    <t xml:space="preserve">書き出し内容（ここに記入）</t>
  </si>
  <si>
    <t xml:space="preserve">市場適合性</t>
  </si>
  <si>
    <t xml:space="preserve">ターゲット顧客は実在するか、ニーズは本物か</t>
  </si>
  <si>
    <t xml:space="preserve">家計簿アプリ（マネーフォワードME・Zaim等）はお金の自動可視化に強いが幸福要素はなく、Q&amp;A系（ジモティー・Yahoo知恵袋等）は実体験共有はあるが金融特化でも状況タグによる精度もない。「お金×幸福」を同じ場で扱い、状況タグで絞り込める競合は見当たらず差別化の余地は大きい。一方、家計簿アプリの銀行連携データや知恵袋系の既存トラフィック規模には及ばない点は弱みとして認識する</t>
  </si>
  <si>
    <t xml:space="preserve">実現可能性</t>
  </si>
  <si>
    <t xml:space="preserve">自分・自社の今の能力で実行できるか</t>
  </si>
  <si>
    <t xml:space="preserve">AI生成の一般論記事やSEO記事の制作は既存の生成AIツールで対応可能だが、金融・保険等の提携先開拓や心理系の専門監修、モデレーション体制の構築には一定の時間と信頼構築が必要</t>
  </si>
  <si>
    <t xml:space="preserve">収益性</t>
  </si>
  <si>
    <t xml:space="preserve">コストと収益のバランスは現実的か</t>
  </si>
  <si>
    <t xml:space="preserve">無料利用者が大半を占める前提のため、初期は提携送客収益に依存する設計とし、プレミアム有料プランへの転換率を継続的に検証しながら収益性を高めていく必要がある</t>
  </si>
  <si>
    <t xml:space="preserve">■ 著作権・コンプライアンス・ビジネス倫理の確認</t>
  </si>
  <si>
    <r>
      <rPr>
        <i val="true"/>
        <sz val="9"/>
        <color rgb="FF595959"/>
        <rFont val="Yu Gothic"/>
        <family val="0"/>
        <charset val="1"/>
      </rPr>
      <t xml:space="preserve">AI</t>
    </r>
    <r>
      <rPr>
        <i val="true"/>
        <sz val="9"/>
        <color rgb="FF595959"/>
        <rFont val="Noto Sans CJK SC"/>
        <family val="2"/>
      </rPr>
      <t xml:space="preserve">はこれらのリスクを完全には把握できません。必ず人の目で確認しましょう</t>
    </r>
  </si>
  <si>
    <t xml:space="preserve">著作権（既存の著作物を侵害していないか）</t>
  </si>
  <si>
    <t xml:space="preserve">一般論記事や体験談要約にAIを活用する際、既存メディアの文章・構成を模倣しないよう独自の切り口とオリジナルのタグ設計を行う</t>
  </si>
  <si>
    <t xml:space="preserve">コンプライアンス（業界ルールや法律に抵触しないか）</t>
  </si>
  <si>
    <t xml:space="preserve">金融商品・保険・副業サービスの紹介を行う際は、金融商品取引法や特定商取引法等の広告規制、アフィリエイト表示義務（ステマ規制）を遵守する。投稿には「実体験の共有であり専門的助言ではない」旨の免責事項を明示する。閲覧アクセスは国単位で遮断しない（検索エンジンのクローラーや海外在住の日本人ユーザーを誤って締め出すリスクがあるため）。投稿・コメントには機械的なレート制限をかける</t>
  </si>
  <si>
    <t xml:space="preserve">ビジネス倫理（不当な不利益や誇大表現がないか）</t>
  </si>
  <si>
    <t xml:space="preserve">「もっともらしいが間違っている投稿」の完全検出は、note・Yahoo知恵袋等の大手UGCサービスでも実現できていない業界共通の残存リスクであり、ゼロを目指すのではなく免責事項・段階的対応（警告→投稿制限→BAN）・重大カテゴリの一時非表示で実害を実務上許容できる水準に抑える方針とする。「幸福度診断」が利用者の不安を過度に煽って有料プランや提携サービスへ誘導することのないよう、診断結果と提案の妥当性は第三者視点でチェックする</t>
  </si>
  <si>
    <t xml:space="preserve">③ コスト構造・採算性の検証</t>
  </si>
  <si>
    <r>
      <rPr>
        <i val="true"/>
        <sz val="10"/>
        <color rgb="FF595959"/>
        <rFont val="Yu Gothic"/>
        <family val="0"/>
        <charset val="1"/>
      </rPr>
      <t xml:space="preserve">1</t>
    </r>
    <r>
      <rPr>
        <i val="true"/>
        <sz val="10"/>
        <color rgb="FF595959"/>
        <rFont val="Noto Sans CJK SC"/>
        <family val="2"/>
      </rPr>
      <t xml:space="preserve">・</t>
    </r>
    <r>
      <rPr>
        <i val="true"/>
        <sz val="10"/>
        <color rgb="FF595959"/>
        <rFont val="Yu Gothic"/>
        <family val="0"/>
        <charset val="1"/>
      </rPr>
      <t xml:space="preserve">4</t>
    </r>
    <r>
      <rPr>
        <i val="true"/>
        <sz val="10"/>
        <color rgb="FF595959"/>
        <rFont val="Noto Sans CJK SC"/>
        <family val="2"/>
      </rPr>
      <t xml:space="preserve">章：</t>
    </r>
    <r>
      <rPr>
        <i val="true"/>
        <sz val="10"/>
        <color rgb="FF595959"/>
        <rFont val="Yu Gothic"/>
        <family val="0"/>
        <charset val="1"/>
      </rPr>
      <t xml:space="preserve">AI</t>
    </r>
    <r>
      <rPr>
        <i val="true"/>
        <sz val="10"/>
        <color rgb="FF595959"/>
        <rFont val="Noto Sans CJK SC"/>
        <family val="2"/>
      </rPr>
      <t xml:space="preserve">特有のランニングコストを洗い出し、採算が取れるかを数式で試算する</t>
    </r>
  </si>
  <si>
    <r>
      <rPr>
        <b val="true"/>
        <sz val="11"/>
        <color rgb="FF1F4E78"/>
        <rFont val="Yu Gothic"/>
        <family val="0"/>
        <charset val="1"/>
      </rPr>
      <t xml:space="preserve">■ AI</t>
    </r>
    <r>
      <rPr>
        <b val="true"/>
        <sz val="11"/>
        <color rgb="FF1F4E78"/>
        <rFont val="Noto Sans CJK SC"/>
        <family val="2"/>
      </rPr>
      <t xml:space="preserve">サービス特有のランニングコスト</t>
    </r>
  </si>
  <si>
    <t xml:space="preserve">費用の種類</t>
  </si>
  <si>
    <t xml:space="preserve">月額の想定金額</t>
  </si>
  <si>
    <r>
      <rPr>
        <b val="true"/>
        <sz val="10"/>
        <color rgb="FF000000"/>
        <rFont val="Yu Gothic"/>
        <family val="0"/>
        <charset val="1"/>
      </rPr>
      <t xml:space="preserve">API</t>
    </r>
    <r>
      <rPr>
        <b val="true"/>
        <sz val="10"/>
        <color rgb="FF000000"/>
        <rFont val="Noto Sans CJK SC"/>
        <family val="2"/>
      </rPr>
      <t xml:space="preserve">利用料</t>
    </r>
  </si>
  <si>
    <t xml:space="preserve">生成AIの機能を使うたびに提供元の企業へ支払う従量課金制の費用</t>
  </si>
  <si>
    <t xml:space="preserve">データ蓄積・追加学習費用</t>
  </si>
  <si>
    <r>
      <rPr>
        <sz val="10"/>
        <color rgb="FF000000"/>
        <rFont val="Yu Gothic"/>
        <family val="0"/>
        <charset val="1"/>
      </rPr>
      <t xml:space="preserve">AI</t>
    </r>
    <r>
      <rPr>
        <sz val="10"/>
        <color rgb="FF000000"/>
        <rFont val="Noto Sans CJK SC"/>
        <family val="2"/>
      </rPr>
      <t xml:space="preserve">の活用精度を高めるためのデータ整備や追加学習に継続的にかかる費用</t>
    </r>
  </si>
  <si>
    <t xml:space="preserve">ファインチューニング費用</t>
  </si>
  <si>
    <t xml:space="preserve">自社の用途に合わせてAIモデルを専門的に調整・最適化するための費用</t>
  </si>
  <si>
    <r>
      <rPr>
        <b val="true"/>
        <sz val="10"/>
        <color rgb="FF000000"/>
        <rFont val="Yu Gothic"/>
        <family val="0"/>
        <charset val="1"/>
      </rPr>
      <t xml:space="preserve">AI</t>
    </r>
    <r>
      <rPr>
        <b val="true"/>
        <sz val="10"/>
        <color rgb="FF000000"/>
        <rFont val="Noto Sans CJK SC"/>
        <family val="2"/>
      </rPr>
      <t xml:space="preserve">出力の品質管理費用</t>
    </r>
  </si>
  <si>
    <r>
      <rPr>
        <sz val="10"/>
        <color rgb="FF000000"/>
        <rFont val="Yu Gothic"/>
        <family val="0"/>
        <charset val="1"/>
      </rPr>
      <t xml:space="preserve">AI</t>
    </r>
    <r>
      <rPr>
        <sz val="10"/>
        <color rgb="FF000000"/>
        <rFont val="Noto Sans CJK SC"/>
        <family val="2"/>
      </rPr>
      <t xml:space="preserve">が生成したコンテンツや判断結果の精度を継続的に監視・評価するための費用</t>
    </r>
  </si>
  <si>
    <r>
      <rPr>
        <b val="true"/>
        <sz val="10"/>
        <color rgb="FF000000"/>
        <rFont val="Yu Gothic"/>
        <family val="0"/>
        <charset val="1"/>
      </rPr>
      <t xml:space="preserve">AI</t>
    </r>
    <r>
      <rPr>
        <b val="true"/>
        <sz val="10"/>
        <color rgb="FF000000"/>
        <rFont val="Noto Sans CJK SC"/>
        <family val="2"/>
      </rPr>
      <t xml:space="preserve">特有ランニングコスト 合計</t>
    </r>
  </si>
  <si>
    <t xml:space="preserve">上記4項目の自動合計（数式）</t>
  </si>
  <si>
    <t xml:space="preserve">■ 簡易採算シミュレーション（1顧客あたり）</t>
  </si>
  <si>
    <t xml:space="preserve">黄色いセルに数値を入力すると、粗利・損益分岐点顧客数が自動計算されます（数式が入っているため直接編集しないでください）</t>
  </si>
  <si>
    <t xml:space="preserve">金額</t>
  </si>
  <si>
    <t xml:space="preserve">月額料金（1顧客あたり）</t>
  </si>
  <si>
    <t xml:space="preserve">変動費（AIのAPI利用料など、1顧客あたり）</t>
  </si>
  <si>
    <t xml:space="preserve">粗利（1顧客あたり）＝ 月額料金 − 変動費</t>
  </si>
  <si>
    <t xml:space="preserve">固定費（人件費・サーバー代など、月額合計）</t>
  </si>
  <si>
    <t xml:space="preserve">損益分岐点となる顧客数＝ 固定費 ÷ 粗利</t>
  </si>
  <si>
    <t xml:space="preserve">ヒント：例）月額3,000円のサービスで変動費（API利用料等）が2,500円の場合、粗利は500円しかなく、固定費をまかなうには非常に多くの顧客が必要になります。粗利が小さすぎる場合は料金設定やコスト構造を見直しましょう。</t>
  </si>
  <si>
    <t xml:space="preserve">■ コスト削減・収益性向上のアイデア</t>
  </si>
  <si>
    <t xml:space="preserve">生成AIへの依頼例：「月額◯円の料金設定で採算が取れるか、API利用料がコストを圧迫するリスクはあるか、コストを抑える対策はあるか教えてください」</t>
  </si>
  <si>
    <t xml:space="preserve">コメント機能をWebSocket等のリアルタイム双方向通信にせず、通常のCRUD（投稿→保存→再読み込み）で設計することで、常時接続によるメモリ・サーバーコストの増大を回避する／Vercel＋Supabaseなどサーバーレス構成にすることでアクセス量に応じた従量課金にし、低MAU期の固定費を抑える／エンジニア人件費を0円で試算しているため、モデレーション業務が個人の工数を超えた場合に外注・雇用コストが発生する前提を別途置いておく</t>
  </si>
  <si>
    <t xml:space="preserve">④ 運用フローの設計</t>
  </si>
  <si>
    <r>
      <rPr>
        <i val="true"/>
        <sz val="10"/>
        <color rgb="FF595959"/>
        <rFont val="Yu Gothic"/>
        <family val="0"/>
        <charset val="1"/>
      </rPr>
      <t xml:space="preserve">3</t>
    </r>
    <r>
      <rPr>
        <i val="true"/>
        <sz val="10"/>
        <color rgb="FF595959"/>
        <rFont val="Noto Sans CJK SC"/>
        <family val="2"/>
      </rPr>
      <t xml:space="preserve">章：リリース後に継続して発生する運用業務を洗い出し、担当・ツール・頻度を整理する</t>
    </r>
  </si>
  <si>
    <t xml:space="preserve">■「作って終わり」が引き起こす3つのリスク</t>
  </si>
  <si>
    <t xml:space="preserve">リスク</t>
  </si>
  <si>
    <t xml:space="preserve">具体的な問題例</t>
  </si>
  <si>
    <t xml:space="preserve">① 品質劣化リスク</t>
  </si>
  <si>
    <t xml:space="preserve">バグや仕様変更が放置され、誤動作が常態化する</t>
  </si>
  <si>
    <t xml:space="preserve">② 信頼損失リスク</t>
  </si>
  <si>
    <t xml:space="preserve">問い合わせに対応できず、ユーザーが離れていく</t>
  </si>
  <si>
    <t xml:space="preserve">③ コンプライアンスリスク</t>
  </si>
  <si>
    <t xml:space="preserve">法改正や規約変更に対応できず、法的問題に発展する</t>
  </si>
  <si>
    <t xml:space="preserve">■ 運用業務タスク一覧（4カテゴリ）</t>
  </si>
  <si>
    <t xml:space="preserve">生成AIへの依頼例：「保守・監視／問い合わせ対応／データ管理／改善・アップデートのカテゴリごとに運用業務を洗い出し、発生頻度も記載してください」</t>
  </si>
  <si>
    <t xml:space="preserve">カテゴリ</t>
  </si>
  <si>
    <t xml:space="preserve">タスク名</t>
  </si>
  <si>
    <t xml:space="preserve">担当者</t>
  </si>
  <si>
    <t xml:space="preserve">実施頻度</t>
  </si>
  <si>
    <t xml:space="preserve">使用ツール／備考</t>
  </si>
  <si>
    <t xml:space="preserve">保守・監視</t>
  </si>
  <si>
    <t xml:space="preserve">サーバー稼働確認</t>
  </si>
  <si>
    <t xml:space="preserve">エンジニア</t>
  </si>
  <si>
    <t xml:space="preserve">常時・自動</t>
  </si>
  <si>
    <r>
      <rPr>
        <i val="true"/>
        <sz val="10"/>
        <color rgb="FF808080"/>
        <rFont val="Yu Gothic"/>
        <family val="0"/>
        <charset val="1"/>
      </rPr>
      <t xml:space="preserve">UptimeRobot</t>
    </r>
    <r>
      <rPr>
        <i val="true"/>
        <sz val="10"/>
        <color rgb="FF808080"/>
        <rFont val="Noto Sans CJK SC"/>
        <family val="2"/>
      </rPr>
      <t xml:space="preserve">（稼働状況監視ツール）／異常時は</t>
    </r>
    <r>
      <rPr>
        <i val="true"/>
        <sz val="10"/>
        <color rgb="FF808080"/>
        <rFont val="Yu Gothic"/>
        <family val="0"/>
        <charset val="1"/>
      </rPr>
      <t xml:space="preserve">Slack</t>
    </r>
    <r>
      <rPr>
        <i val="true"/>
        <sz val="10"/>
        <color rgb="FF808080"/>
        <rFont val="Noto Sans CJK SC"/>
        <family val="2"/>
      </rPr>
      <t xml:space="preserve">に通知</t>
    </r>
  </si>
  <si>
    <t xml:space="preserve">問い合わせ対応</t>
  </si>
  <si>
    <t xml:space="preserve">問い合わせ返信</t>
  </si>
  <si>
    <r>
      <rPr>
        <i val="true"/>
        <sz val="10"/>
        <color rgb="FF808080"/>
        <rFont val="Yu Gothic"/>
        <family val="0"/>
        <charset val="1"/>
      </rPr>
      <t xml:space="preserve">CS</t>
    </r>
    <r>
      <rPr>
        <i val="true"/>
        <sz val="10"/>
        <color rgb="FF808080"/>
        <rFont val="Noto Sans CJK SC"/>
        <family val="2"/>
      </rPr>
      <t xml:space="preserve">チーム</t>
    </r>
  </si>
  <si>
    <t xml:space="preserve">日次</t>
  </si>
  <si>
    <r>
      <rPr>
        <i val="true"/>
        <sz val="10"/>
        <color rgb="FF808080"/>
        <rFont val="Yu Gothic"/>
        <family val="0"/>
        <charset val="1"/>
      </rPr>
      <t xml:space="preserve">Gmail</t>
    </r>
    <r>
      <rPr>
        <i val="true"/>
        <sz val="10"/>
        <color rgb="FF808080"/>
        <rFont val="Noto Sans CJK SC"/>
        <family val="2"/>
      </rPr>
      <t xml:space="preserve">・</t>
    </r>
    <r>
      <rPr>
        <i val="true"/>
        <sz val="10"/>
        <color rgb="FF808080"/>
        <rFont val="Yu Gothic"/>
        <family val="0"/>
        <charset val="1"/>
      </rPr>
      <t xml:space="preserve">Notion</t>
    </r>
    <r>
      <rPr>
        <i val="true"/>
        <sz val="10"/>
        <color rgb="FF808080"/>
        <rFont val="Noto Sans CJK SC"/>
        <family val="2"/>
      </rPr>
      <t xml:space="preserve">／</t>
    </r>
    <r>
      <rPr>
        <i val="true"/>
        <sz val="10"/>
        <color rgb="FF808080"/>
        <rFont val="Yu Gothic"/>
        <family val="0"/>
        <charset val="1"/>
      </rPr>
      <t xml:space="preserve">24</t>
    </r>
    <r>
      <rPr>
        <i val="true"/>
        <sz val="10"/>
        <color rgb="FF808080"/>
        <rFont val="Noto Sans CJK SC"/>
        <family val="2"/>
      </rPr>
      <t xml:space="preserve">時間以内の対応を目標にする</t>
    </r>
  </si>
  <si>
    <t xml:space="preserve">データ管理</t>
  </si>
  <si>
    <t xml:space="preserve">データバックアップ</t>
  </si>
  <si>
    <t xml:space="preserve">週次</t>
  </si>
  <si>
    <r>
      <rPr>
        <i val="true"/>
        <sz val="10"/>
        <color rgb="FF808080"/>
        <rFont val="Yu Gothic"/>
        <family val="0"/>
        <charset val="1"/>
      </rPr>
      <t xml:space="preserve">Google Drive</t>
    </r>
    <r>
      <rPr>
        <i val="true"/>
        <sz val="10"/>
        <color rgb="FF808080"/>
        <rFont val="Noto Sans CJK SC"/>
        <family val="2"/>
      </rPr>
      <t xml:space="preserve">／毎週月曜に実施</t>
    </r>
  </si>
  <si>
    <t xml:space="preserve">改善・アップデート</t>
  </si>
  <si>
    <r>
      <rPr>
        <i val="true"/>
        <sz val="10"/>
        <color rgb="FF808080"/>
        <rFont val="Yu Gothic"/>
        <family val="0"/>
        <charset val="1"/>
      </rPr>
      <t xml:space="preserve">FAQ</t>
    </r>
    <r>
      <rPr>
        <i val="true"/>
        <sz val="10"/>
        <color rgb="FF808080"/>
        <rFont val="Noto Sans CJK SC"/>
        <family val="2"/>
      </rPr>
      <t xml:space="preserve">ページ更新</t>
    </r>
  </si>
  <si>
    <t xml:space="preserve">コンテンツ担当</t>
  </si>
  <si>
    <t xml:space="preserve">月次</t>
  </si>
  <si>
    <r>
      <rPr>
        <i val="true"/>
        <sz val="10"/>
        <color rgb="FF808080"/>
        <rFont val="Yu Gothic"/>
        <family val="0"/>
        <charset val="1"/>
      </rPr>
      <t xml:space="preserve">CMS</t>
    </r>
    <r>
      <rPr>
        <i val="true"/>
        <sz val="10"/>
        <color rgb="FF808080"/>
        <rFont val="Noto Sans CJK SC"/>
        <family val="2"/>
      </rPr>
      <t xml:space="preserve">（記事管理システム）／問い合わせ内容をもとに追加</t>
    </r>
  </si>
  <si>
    <t xml:space="preserve">立ち上げ期運営</t>
  </si>
  <si>
    <t xml:space="preserve">Googleログイン認証でオープンに投稿を受け付ける。投稿数が運営の目視上限（目安：1日20件）を超えたら、管理画面の「新規投稿一時停止スイッチ」で受付を一時制限する</t>
  </si>
  <si>
    <t xml:space="preserve">運営者（個人開発）</t>
  </si>
  <si>
    <t xml:space="preserve">常時（立ち上げ期のみ）</t>
  </si>
  <si>
    <t xml:space="preserve">投稿一時停止スイッチはオフを基本状態とし、レビューが追いつかない時のみ一時的にオンにする（招待制のような常設の仕組みは持たない）</t>
  </si>
  <si>
    <t xml:space="preserve">システムの稼働確認とAIマッチングロジックの精度モニタリング</t>
  </si>
  <si>
    <t xml:space="preserve">表示された類似体験談のクリック率・満足度を確認し、ズレがあれば調整する</t>
  </si>
  <si>
    <t xml:space="preserve">体験談・タグ表示に関するユーザー問い合わせ対応</t>
  </si>
  <si>
    <t xml:space="preserve">メール・フォーム／24時間以内の対応を目標にする</t>
  </si>
  <si>
    <t xml:space="preserve">提携先サービスに関する問い合わせ窓口対応</t>
  </si>
  <si>
    <t xml:space="preserve">提携先へのエスカレーション対応を含む</t>
  </si>
  <si>
    <t xml:space="preserve">ユーザーの投稿・タグデータのバックアップ</t>
  </si>
  <si>
    <t xml:space="preserve">クラウドストレージへ暗号化して保存</t>
  </si>
  <si>
    <t xml:space="preserve">個人情報の保存期間チェック・削除処理</t>
  </si>
  <si>
    <t xml:space="preserve">個人情報保護方針に基づき実施</t>
  </si>
  <si>
    <t xml:space="preserve">AIマッチングロジックのチューニング</t>
  </si>
  <si>
    <t xml:space="preserve">ユーザーの閲覧・クリックデータをもとに精度向上</t>
  </si>
  <si>
    <t xml:space="preserve">提携先ラインナップの見直し・追加</t>
  </si>
  <si>
    <t xml:space="preserve">事業開発担当</t>
  </si>
  <si>
    <t xml:space="preserve">ユーザーのニーズ変化に応じて更新</t>
  </si>
  <si>
    <t xml:space="preserve">コンテンツ運営</t>
  </si>
  <si>
    <t xml:space="preserve">体験談投稿のモデレーション（AI一次判定＋通報・投票による自動可視性調整＋疑わしい投稿のみ目視確認）</t>
  </si>
  <si>
    <t xml:space="preserve">モデレーター</t>
  </si>
  <si>
    <t xml:space="preserve">AI一次判定＋通報・投票による可視性調整に加え、機械的なレート制限を設ける（体験談投稿：1日3件・月30件、コメント：1日10件・月150件）。金融・法律・健康など実害が大きいキーワードを含む投稿や、通常と異なる地域からの投稿は一時非表示にして人間レビューを優先する（国単位のアクセス遮断はSEO集客と衝突するため行わない）。通報はBAN前に「警告→投稿制限→BAN」の段階を踏み、通報者の多様性も見て組織的な誤通報を防ぐ</t>
  </si>
  <si>
    <t xml:space="preserve">一般論記事（相場感）の自動更新（公的統計データ連携）と、実体験とのギャップ表示ロジックの保守</t>
  </si>
  <si>
    <t xml:space="preserve">総務省統計局等の公的統計データをAPIで定期取得し、数値が更新されたらAIが記事を自動再生成する。「最終更新日・データ根拠」を明記し鮮度を機械的に担保する</t>
  </si>
  <si>
    <t xml:space="preserve">■ インシデント対応フロー</t>
  </si>
  <si>
    <t xml:space="preserve">インシデント対応＝障害や問題が発生した際の検知・連絡・復旧・再発防止までを含む一連の対応</t>
  </si>
  <si>
    <t xml:space="preserve">順序</t>
  </si>
  <si>
    <t xml:space="preserve">対応内容</t>
  </si>
  <si>
    <t xml:space="preserve">担当者（ここに記入）</t>
  </si>
  <si>
    <t xml:space="preserve">①</t>
  </si>
  <si>
    <t xml:space="preserve">① 発見者があらかじめ定められた関係者へインシデント発生を通知する</t>
  </si>
  <si>
    <t xml:space="preserve">カスタマーサポート担当</t>
  </si>
  <si>
    <t xml:space="preserve">②</t>
  </si>
  <si>
    <t xml:space="preserve">② エンジニアが原因を特定し、被害の拡大を防ぐ（問題箇所の無効化・切り離し）</t>
  </si>
  <si>
    <t xml:space="preserve">③</t>
  </si>
  <si>
    <t xml:space="preserve">③ 担当者がユーザーへ現状を通知する</t>
  </si>
  <si>
    <t xml:space="preserve">広報・CS担当</t>
  </si>
  <si>
    <t xml:space="preserve">④</t>
  </si>
  <si>
    <t xml:space="preserve">④ 暫定的な復旧、または根本原因の修正を行う</t>
  </si>
  <si>
    <t xml:space="preserve">⑤</t>
  </si>
  <si>
    <t xml:space="preserve">⑤ 再発防止策を文書化する</t>
  </si>
  <si>
    <t xml:space="preserve">エンジニアリーダー</t>
  </si>
  <si>
    <t xml:space="preserve">■ 個人情報保護のチェック</t>
  </si>
  <si>
    <t xml:space="preserve">扱う個人情報（氏名・メールアドレス・購買履歴など）について、目的・保存期間・廃棄方法・アクセス権限を明確にしておきましょう</t>
  </si>
  <si>
    <t xml:space="preserve">保存する情報項目</t>
  </si>
  <si>
    <t xml:space="preserve">保存目的</t>
  </si>
  <si>
    <t xml:space="preserve">保存期間</t>
  </si>
  <si>
    <t xml:space="preserve">廃棄方法</t>
  </si>
  <si>
    <t xml:space="preserve">アクセス権限</t>
  </si>
  <si>
    <t xml:space="preserve">氏名・メールアドレス</t>
  </si>
  <si>
    <t xml:space="preserve">会員登録・投稿通知</t>
  </si>
  <si>
    <t xml:space="preserve">退会後1年</t>
  </si>
  <si>
    <t xml:space="preserve">システムから完全削除</t>
  </si>
  <si>
    <r>
      <rPr>
        <sz val="10"/>
        <color rgb="FF000000"/>
        <rFont val="Yu Gothic"/>
        <family val="0"/>
        <charset val="1"/>
      </rPr>
      <t xml:space="preserve">CS</t>
    </r>
    <r>
      <rPr>
        <sz val="10"/>
        <color rgb="FF000000"/>
        <rFont val="Noto Sans CJK SC"/>
        <family val="2"/>
      </rPr>
      <t xml:space="preserve">担当・システム管理者のみ</t>
    </r>
  </si>
  <si>
    <t xml:space="preserve">家計・支出データ</t>
  </si>
  <si>
    <t xml:space="preserve">AIマッチングロジックの精度向上・パーソナライズ</t>
  </si>
  <si>
    <t xml:space="preserve">退会後即時匿名化</t>
  </si>
  <si>
    <t xml:space="preserve">匿名化処理後は統計データとしてのみ保持</t>
  </si>
  <si>
    <t xml:space="preserve">データ分析担当のみ</t>
  </si>
  <si>
    <t xml:space="preserve">体験談・コメントの投稿内容</t>
  </si>
  <si>
    <t xml:space="preserve">パーソナライズ提案の生成</t>
  </si>
  <si>
    <t xml:space="preserve">退会後即時削除</t>
  </si>
  <si>
    <t xml:space="preserve">決済情報</t>
  </si>
  <si>
    <t xml:space="preserve">プレミアムプランの課金処理</t>
  </si>
  <si>
    <t xml:space="preserve">決済代行会社の規定に準拠</t>
  </si>
  <si>
    <t xml:space="preserve">決済代行会社側で管理・削除（自社では非保持）</t>
  </si>
  <si>
    <t xml:space="preserve">経理担当のみ</t>
  </si>
  <si>
    <t xml:space="preserve">⑤ 業務フロー図の構成案</t>
  </si>
  <si>
    <r>
      <rPr>
        <i val="true"/>
        <sz val="10"/>
        <color rgb="FF595959"/>
        <rFont val="Yu Gothic"/>
        <family val="0"/>
        <charset val="1"/>
      </rPr>
      <t xml:space="preserve">3</t>
    </r>
    <r>
      <rPr>
        <i val="true"/>
        <sz val="10"/>
        <color rgb="FF595959"/>
        <rFont val="Noto Sans CJK SC"/>
        <family val="2"/>
      </rPr>
      <t xml:space="preserve">章：順序・役割分担・判断分岐の</t>
    </r>
    <r>
      <rPr>
        <i val="true"/>
        <sz val="10"/>
        <color rgb="FF595959"/>
        <rFont val="Yu Gothic"/>
        <family val="0"/>
        <charset val="1"/>
      </rPr>
      <t xml:space="preserve">3</t>
    </r>
    <r>
      <rPr>
        <i val="true"/>
        <sz val="10"/>
        <color rgb="FF595959"/>
        <rFont val="Noto Sans CJK SC"/>
        <family val="2"/>
      </rPr>
      <t xml:space="preserve">要素で業務の流れを書き出し、レビューする</t>
    </r>
  </si>
  <si>
    <t xml:space="preserve">■ 対象業務</t>
  </si>
  <si>
    <t xml:space="preserve">ユーザーが体験談を投稿してから、他ユーザーがそれを見つけ、コメントを通じてつながりが生まれるまでの一連の流れ</t>
  </si>
  <si>
    <t xml:space="preserve">■ 業務フロー構成表</t>
  </si>
  <si>
    <t xml:space="preserve">生成AIへの依頼例：「担当者ごとにブロックを分け、判断分岐がある箇所は『条件：〜』と明記し、各ステップに番号をつけて業務フロー構成案を作成してください」</t>
  </si>
  <si>
    <t xml:space="preserve">業務内容</t>
  </si>
  <si>
    <t xml:space="preserve">判断分岐（条件）</t>
  </si>
  <si>
    <r>
      <rPr>
        <b val="true"/>
        <sz val="10"/>
        <color rgb="FF000000"/>
        <rFont val="Yu Gothic"/>
        <family val="0"/>
        <charset val="1"/>
      </rPr>
      <t xml:space="preserve">YES</t>
    </r>
    <r>
      <rPr>
        <b val="true"/>
        <sz val="10"/>
        <color rgb="FF000000"/>
        <rFont val="Noto Sans CJK SC"/>
        <family val="2"/>
      </rPr>
      <t xml:space="preserve">の場合の次ステップ</t>
    </r>
  </si>
  <si>
    <r>
      <rPr>
        <b val="true"/>
        <sz val="10"/>
        <color rgb="FF000000"/>
        <rFont val="Yu Gothic"/>
        <family val="0"/>
        <charset val="1"/>
      </rPr>
      <t xml:space="preserve">NO</t>
    </r>
    <r>
      <rPr>
        <b val="true"/>
        <sz val="10"/>
        <color rgb="FF000000"/>
        <rFont val="Noto Sans CJK SC"/>
        <family val="2"/>
      </rPr>
      <t xml:space="preserve">の場合の次ステップ</t>
    </r>
  </si>
  <si>
    <t xml:space="preserve">ユーザー</t>
  </si>
  <si>
    <t xml:space="preserve">問い合わせメールを送信する</t>
  </si>
  <si>
    <t xml:space="preserve">システム／担当者</t>
  </si>
  <si>
    <t xml:space="preserve">内容が既知の質問か確認する</t>
  </si>
  <si>
    <t xml:space="preserve">既知の質問か？</t>
  </si>
  <si>
    <r>
      <rPr>
        <i val="true"/>
        <sz val="10"/>
        <color rgb="FF808080"/>
        <rFont val="Yu Gothic"/>
        <family val="0"/>
        <charset val="1"/>
      </rPr>
      <t xml:space="preserve">③-A</t>
    </r>
    <r>
      <rPr>
        <i val="true"/>
        <sz val="10"/>
        <color rgb="FF808080"/>
        <rFont val="Noto Sans CJK SC"/>
        <family val="2"/>
      </rPr>
      <t xml:space="preserve">：</t>
    </r>
    <r>
      <rPr>
        <i val="true"/>
        <sz val="10"/>
        <color rgb="FF808080"/>
        <rFont val="Yu Gothic"/>
        <family val="0"/>
        <charset val="1"/>
      </rPr>
      <t xml:space="preserve">FAQ</t>
    </r>
    <r>
      <rPr>
        <i val="true"/>
        <sz val="10"/>
        <color rgb="FF808080"/>
        <rFont val="Noto Sans CJK SC"/>
        <family val="2"/>
      </rPr>
      <t xml:space="preserve">の</t>
    </r>
    <r>
      <rPr>
        <i val="true"/>
        <sz val="10"/>
        <color rgb="FF808080"/>
        <rFont val="Yu Gothic"/>
        <family val="0"/>
        <charset val="1"/>
      </rPr>
      <t xml:space="preserve">URL</t>
    </r>
    <r>
      <rPr>
        <i val="true"/>
        <sz val="10"/>
        <color rgb="FF808080"/>
        <rFont val="Noto Sans CJK SC"/>
        <family val="2"/>
      </rPr>
      <t xml:space="preserve">を返信する</t>
    </r>
  </si>
  <si>
    <r>
      <rPr>
        <i val="true"/>
        <sz val="10"/>
        <color rgb="FF808080"/>
        <rFont val="Yu Gothic"/>
        <family val="0"/>
        <charset val="1"/>
      </rPr>
      <t xml:space="preserve">③-B</t>
    </r>
    <r>
      <rPr>
        <i val="true"/>
        <sz val="10"/>
        <color rgb="FF808080"/>
        <rFont val="Noto Sans CJK SC"/>
        <family val="2"/>
      </rPr>
      <t xml:space="preserve">：担当者が調査し個別に回答する</t>
    </r>
  </si>
  <si>
    <t xml:space="preserve">回答内容をFAQに追記するか検討する</t>
  </si>
  <si>
    <t xml:space="preserve">追記すべき内容か？</t>
  </si>
  <si>
    <r>
      <rPr>
        <i val="true"/>
        <sz val="10"/>
        <color rgb="FF808080"/>
        <rFont val="Yu Gothic"/>
        <family val="0"/>
        <charset val="1"/>
      </rPr>
      <t xml:space="preserve">FAQ</t>
    </r>
    <r>
      <rPr>
        <i val="true"/>
        <sz val="10"/>
        <color rgb="FF808080"/>
        <rFont val="Noto Sans CJK SC"/>
        <family val="2"/>
      </rPr>
      <t xml:space="preserve">を更新する</t>
    </r>
  </si>
  <si>
    <t xml:space="preserve">対応を終了する</t>
  </si>
  <si>
    <t xml:space="preserve">節約術や幸福を感じた体験を投稿する。必須項目はカテゴリ・タイトル・本文・年代・家族構成・免責事項同意のみとし、年収帯・性別・居住形態・価値観カテゴリは任意（入力を促す文言で入力率を高める）。「幸福の気づき」カテゴリを選んだ場合は価値観カテゴリの入力をUI上で強調する</t>
  </si>
  <si>
    <t xml:space="preserve">システム</t>
  </si>
  <si>
    <t xml:space="preserve">投稿内容をAIが解析し、不適切投稿や誤情報の疑いがないか一次チェックする</t>
  </si>
  <si>
    <t xml:space="preserve">ガイドライン違反の疑いがあるか？</t>
  </si>
  <si>
    <t xml:space="preserve">モデレーターが目視確認する</t>
  </si>
  <si>
    <t xml:space="preserve">公開する</t>
  </si>
  <si>
    <t xml:space="preserve">通報・投票が閾値を超えた投稿、またはAIの一次判定で疑わしいと判定された投稿のみを目視確認し、公開可否を判断する</t>
  </si>
  <si>
    <t xml:space="preserve">閲覧ユーザーの状況（任意入力）をもとに、類似タグを持つ体験談を優先表示する</t>
  </si>
  <si>
    <t xml:space="preserve">8</t>
  </si>
  <si>
    <t xml:space="preserve">気になる体験談にコメント・質問を投稿する</t>
  </si>
  <si>
    <t xml:space="preserve">9</t>
  </si>
  <si>
    <t xml:space="preserve">投稿者</t>
  </si>
  <si>
    <t xml:space="preserve">コメントに返信し、実践者同士のやり取りが生まれる</t>
  </si>
  <si>
    <t xml:space="preserve">前回よりスコアが改善しているか？</t>
  </si>
  <si>
    <t xml:space="preserve">コミュニティ・継続特典を案内する</t>
  </si>
  <si>
    <t xml:space="preserve">改善ポイントを再提案する</t>
  </si>
  <si>
    <t xml:space="preserve">10</t>
  </si>
  <si>
    <t xml:space="preserve">あるカテゴリで実体験の投稿が増えても一般論記事は非表示にせず、両者を並べて表示し「相場感と実体験のギャップ」を可視化する</t>
  </si>
  <si>
    <t xml:space="preserve">■ 業務フロー図レビューチェックリスト</t>
  </si>
  <si>
    <t xml:space="preserve">生成AIへの依頼例：「以下のチェック項目に沿って業務フロー構成案を確認し、問題があれば具体的な修正案も提示してください」</t>
  </si>
  <si>
    <t xml:space="preserve">確認</t>
  </si>
  <si>
    <t xml:space="preserve">チェック項目</t>
  </si>
  <si>
    <t xml:space="preserve">気づいた点・修正メモ</t>
  </si>
  <si>
    <t xml:space="preserve">OK</t>
  </si>
  <si>
    <t xml:space="preserve">開始・終了が明確か（フローに明確な起点と終点があるか）</t>
  </si>
  <si>
    <t xml:space="preserve">開始（体験談投稿）と終了（継続的なコメントのやり取り・コミュニティ定着）が明確</t>
  </si>
  <si>
    <t xml:space="preserve">全担当者が登場しているか（実際に関わる人が図に含まれているか）</t>
  </si>
  <si>
    <t xml:space="preserve">ユーザー・システム・CS・エンジニア・事業開発担当が登場しており網羅性は概ね問題ない</t>
  </si>
  <si>
    <t xml:space="preserve">判断分岐に対応するルートがあるか（YES/NOそれぞれの処理が定義されているか）</t>
  </si>
  <si>
    <t xml:space="preserve">投稿の一次判定要否の分岐、UGC投稿数の閾値による分岐にそれぞれYES／NOの処理を用意済み</t>
  </si>
  <si>
    <t xml:space="preserve">要修正</t>
  </si>
  <si>
    <t xml:space="preserve">例外ケースが考慮されているか（通常フロー以外のトラブル時の対処が含まれているか）</t>
  </si>
  <si>
    <r>
      <rPr>
        <sz val="10"/>
        <color rgb="FF000000"/>
        <rFont val="Yu Gothic"/>
        <family val="0"/>
        <charset val="1"/>
      </rPr>
      <t xml:space="preserve">AI</t>
    </r>
    <r>
      <rPr>
        <sz val="10"/>
        <color rgb="FF000000"/>
        <rFont val="Noto Sans CJK SC"/>
        <family val="2"/>
      </rPr>
      <t xml:space="preserve">生成記事が誤って実体験のように見えてしまう例外ケース、誤情報投稿がモデレーション前に拡散するケースへの対処フローが未整理。次回レビューでバッジ表示ルールと緊急削除フローを追加する</t>
    </r>
  </si>
  <si>
    <t xml:space="preserve">誰が見ても理解できるか（第三者が読んでも迷わない表現になっているか）</t>
  </si>
  <si>
    <t xml:space="preserve">モデレーション業務が運営者一人の工数を超えるケースへの対処として、通報・投票による自動可視性調整と信頼スコアによる段階的モデレーションを導入。将来的には投稿実績の高いユーザーへの準モデレーター権限委譲も検討する</t>
  </si>
  <si>
    <t xml:space="preserve">⑥ 導入計画書（完成版）</t>
  </si>
  <si>
    <r>
      <rPr>
        <i val="true"/>
        <sz val="10"/>
        <color rgb="FF595959"/>
        <rFont val="Yu Gothic"/>
        <family val="0"/>
        <charset val="1"/>
      </rPr>
      <t xml:space="preserve">4</t>
    </r>
    <r>
      <rPr>
        <i val="true"/>
        <sz val="10"/>
        <color rgb="FF595959"/>
        <rFont val="Noto Sans CJK SC"/>
        <family val="2"/>
      </rPr>
      <t xml:space="preserve">・</t>
    </r>
    <r>
      <rPr>
        <i val="true"/>
        <sz val="10"/>
        <color rgb="FF595959"/>
        <rFont val="Yu Gothic"/>
        <family val="0"/>
        <charset val="1"/>
      </rPr>
      <t xml:space="preserve">5</t>
    </r>
    <r>
      <rPr>
        <i val="true"/>
        <sz val="10"/>
        <color rgb="FF595959"/>
        <rFont val="Noto Sans CJK SC"/>
        <family val="2"/>
      </rPr>
      <t xml:space="preserve">章：サービス概要から運用体制・ロードマップまでを</t>
    </r>
    <r>
      <rPr>
        <i val="true"/>
        <sz val="10"/>
        <color rgb="FF595959"/>
        <rFont val="Yu Gothic"/>
        <family val="0"/>
        <charset val="1"/>
      </rPr>
      <t xml:space="preserve">1</t>
    </r>
    <r>
      <rPr>
        <i val="true"/>
        <sz val="10"/>
        <color rgb="FF595959"/>
        <rFont val="Noto Sans CJK SC"/>
        <family val="2"/>
      </rPr>
      <t xml:space="preserve">枚にまとめる</t>
    </r>
  </si>
  <si>
    <t xml:space="preserve">■ 企画の基本情報</t>
  </si>
  <si>
    <t xml:space="preserve">サービス名</t>
  </si>
  <si>
    <t xml:space="preserve">マネハピ（仮称）</t>
  </si>
  <si>
    <t xml:space="preserve">作成者</t>
  </si>
  <si>
    <t xml:space="preserve">事業企画担当</t>
  </si>
  <si>
    <t xml:space="preserve">作成日</t>
  </si>
  <si>
    <t xml:space="preserve">2026-08-27</t>
  </si>
  <si>
    <t xml:space="preserve">最終更新日</t>
  </si>
  <si>
    <t xml:space="preserve">■ 導入計画書 5構成</t>
  </si>
  <si>
    <r>
      <rPr>
        <b val="true"/>
        <sz val="10"/>
        <color rgb="FF000000"/>
        <rFont val="Yu Gothic"/>
        <family val="0"/>
        <charset val="1"/>
      </rPr>
      <t xml:space="preserve">1. </t>
    </r>
    <r>
      <rPr>
        <b val="true"/>
        <sz val="10"/>
        <color rgb="FF000000"/>
        <rFont val="Noto Sans CJK SC"/>
        <family val="2"/>
      </rPr>
      <t xml:space="preserve">サービス概要</t>
    </r>
  </si>
  <si>
    <t xml:space="preserve">ユーザーが節約術や幸福の気づきを状況タグ付きで投稿し、AIが似た状況の体験談を見つけやすくするコミュニティ型プラットフォーム。コメント欄を通じて実践者同士の対話も生まれる</t>
  </si>
  <si>
    <t xml:space="preserve">ヒント: サービスの内容を2〜3文で簡潔に記入</t>
  </si>
  <si>
    <t xml:space="preserve">例：飲食店の店長が抱えるシフト作成業務を、AIで自動化するサービス。従業員の希望や過去データをもとに最適なシフトを自動生成する</t>
  </si>
  <si>
    <r>
      <rPr>
        <b val="true"/>
        <sz val="10"/>
        <color rgb="FF000000"/>
        <rFont val="Yu Gothic"/>
        <family val="0"/>
        <charset val="1"/>
      </rPr>
      <t xml:space="preserve">2. </t>
    </r>
    <r>
      <rPr>
        <b val="true"/>
        <sz val="10"/>
        <color rgb="FF000000"/>
        <rFont val="Noto Sans CJK SC"/>
        <family val="2"/>
      </rPr>
      <t xml:space="preserve">解決する課題と提供価値</t>
    </r>
  </si>
  <si>
    <t xml:space="preserve">「お金の情報」と「幸福・価値観の情報」の一般論では自分に合うかわからないという課題を、状況が近い人の実体験とAIによるマッチングで解決する。立ち上げ期はAI生成の目安記事で呼び水を作る</t>
  </si>
  <si>
    <t xml:space="preserve">ヒント: 誰の・どんな課題を・どんな価値で解決するかを記入</t>
  </si>
  <si>
    <t xml:space="preserve">例：個人経営の飲食店の店長が抱える、毎週数時間かかるシフト作成の負担を、AIによる自動生成で大幅に削減する</t>
  </si>
  <si>
    <r>
      <rPr>
        <b val="true"/>
        <sz val="10"/>
        <color rgb="FF000000"/>
        <rFont val="Yu Gothic"/>
        <family val="0"/>
        <charset val="1"/>
      </rPr>
      <t xml:space="preserve">3. </t>
    </r>
    <r>
      <rPr>
        <b val="true"/>
        <sz val="10"/>
        <color rgb="FF000000"/>
        <rFont val="Noto Sans CJK SC"/>
        <family val="2"/>
      </rPr>
      <t xml:space="preserve">収益モデルとコスト構造の概要</t>
    </r>
  </si>
  <si>
    <t xml:space="preserve">フリーミアム＋アフィリエイト（主軸、収益の約86%）＋広告（補助）の複合モデル。エンジニア人件費0円（個人開発）、コメント機能を通常のCRUDで設計しサーバーレスホスティングとすることで、固定費を月1.5万円程度に抑制。試算上の損益分岐点はMAU約1,000人</t>
  </si>
  <si>
    <t xml:space="preserve">ヒント: 収益モデル、想定料金、主なコスト（AI特有のランニングコスト含む）、採算の見立てを記入</t>
  </si>
  <si>
    <t xml:space="preserve">例：初期費用無料＋月額3,000円のサブスクリプション。主なコストはAIのAPI利用料・サーバー代・人件費。①③シートの試算結果を転記する</t>
  </si>
  <si>
    <r>
      <rPr>
        <b val="true"/>
        <sz val="10"/>
        <color rgb="FF000000"/>
        <rFont val="Yu Gothic"/>
        <family val="0"/>
        <charset val="1"/>
      </rPr>
      <t xml:space="preserve">4. </t>
    </r>
    <r>
      <rPr>
        <b val="true"/>
        <sz val="10"/>
        <color rgb="FF000000"/>
        <rFont val="Noto Sans CJK SC"/>
        <family val="2"/>
      </rPr>
      <t xml:space="preserve">運用体制の概要</t>
    </r>
  </si>
  <si>
    <t xml:space="preserve">個人開発者（エンジニア）がシステム開発・保守を担当。モデレーションはAI一次判定＋ユーザー通報・投票による自動可視性調整＋信頼スコアによる段階的チェックで省力化し、疑わしい投稿のみ運営者が目視確認する。一般論記事は公的統計データ連携で自動更新し、手動更新の工数を削減する。モデレーション負荷が個人の工数を超えた段階で、投稿実績の高いユーザーへの準モデレーター権限委譲、または外部モデレーターの雇用を検討する</t>
  </si>
  <si>
    <t xml:space="preserve">ヒント: 保守・監視、問い合わせ対応、データ管理、改善・アップデートの体制と、インシデント対応の要点を記入</t>
  </si>
  <si>
    <t xml:space="preserve">例：エンジニア1名が保守・監視とインシデント対応を、CSチームが問い合わせ対応を担当。週次でバックアップ、月次でAIモデルを再学習する</t>
  </si>
  <si>
    <r>
      <rPr>
        <b val="true"/>
        <sz val="10"/>
        <color rgb="FF000000"/>
        <rFont val="Yu Gothic"/>
        <family val="0"/>
        <charset val="1"/>
      </rPr>
      <t xml:space="preserve">5. </t>
    </r>
    <r>
      <rPr>
        <b val="true"/>
        <sz val="10"/>
        <color rgb="FF000000"/>
        <rFont val="Noto Sans CJK SC"/>
        <family val="2"/>
      </rPr>
      <t xml:space="preserve">導入のロードマップ（</t>
    </r>
    <r>
      <rPr>
        <b val="true"/>
        <sz val="10"/>
        <color rgb="FF000000"/>
        <rFont val="Yu Gothic"/>
        <family val="0"/>
        <charset val="1"/>
      </rPr>
      <t xml:space="preserve">3</t>
    </r>
    <r>
      <rPr>
        <b val="true"/>
        <sz val="10"/>
        <color rgb="FF000000"/>
        <rFont val="Noto Sans CJK SC"/>
        <family val="2"/>
      </rPr>
      <t xml:space="preserve">ヶ月・</t>
    </r>
    <r>
      <rPr>
        <b val="true"/>
        <sz val="10"/>
        <color rgb="FF000000"/>
        <rFont val="Yu Gothic"/>
        <family val="0"/>
        <charset val="1"/>
      </rPr>
      <t xml:space="preserve">6</t>
    </r>
    <r>
      <rPr>
        <b val="true"/>
        <sz val="10"/>
        <color rgb="FF000000"/>
        <rFont val="Noto Sans CJK SC"/>
        <family val="2"/>
      </rPr>
      <t xml:space="preserve">ヶ月・</t>
    </r>
    <r>
      <rPr>
        <b val="true"/>
        <sz val="10"/>
        <color rgb="FF000000"/>
        <rFont val="Yu Gothic"/>
        <family val="0"/>
        <charset val="1"/>
      </rPr>
      <t xml:space="preserve">1</t>
    </r>
    <r>
      <rPr>
        <b val="true"/>
        <sz val="10"/>
        <color rgb="FF000000"/>
        <rFont val="Noto Sans CJK SC"/>
        <family val="2"/>
      </rPr>
      <t xml:space="preserve">年の目標）</t>
    </r>
  </si>
  <si>
    <r>
      <rPr>
        <sz val="10"/>
        <color rgb="FF000000"/>
        <rFont val="Yu Gothic"/>
        <family val="0"/>
        <charset val="1"/>
      </rPr>
      <t xml:space="preserve">3</t>
    </r>
    <r>
      <rPr>
        <sz val="10"/>
        <color rgb="FF000000"/>
        <rFont val="Noto Sans CJK SC"/>
        <family val="2"/>
      </rPr>
      <t xml:space="preserve">ヶ月＝</t>
    </r>
    <r>
      <rPr>
        <sz val="10"/>
        <color rgb="FF000000"/>
        <rFont val="Yu Gothic"/>
        <family val="0"/>
        <charset val="1"/>
      </rPr>
      <t xml:space="preserve">Google</t>
    </r>
    <r>
      <rPr>
        <sz val="10"/>
        <color rgb="FF000000"/>
        <rFont val="Noto Sans CJK SC"/>
        <family val="2"/>
      </rPr>
      <t xml:space="preserve">ログイン認証でオープンに投稿を受け付ける</t>
    </r>
    <r>
      <rPr>
        <sz val="10"/>
        <color rgb="FF000000"/>
        <rFont val="Yu Gothic"/>
        <family val="0"/>
        <charset val="1"/>
      </rPr>
      <t xml:space="preserve">β</t>
    </r>
    <r>
      <rPr>
        <sz val="10"/>
        <color rgb="FF000000"/>
        <rFont val="Noto Sans CJK SC"/>
        <family val="2"/>
      </rPr>
      <t xml:space="preserve">版公開。運営が全件事前レビューしながら投稿</t>
    </r>
    <r>
      <rPr>
        <sz val="10"/>
        <color rgb="FF000000"/>
        <rFont val="Yu Gothic"/>
        <family val="0"/>
        <charset val="1"/>
      </rPr>
      <t xml:space="preserve">100</t>
    </r>
    <r>
      <rPr>
        <sz val="10"/>
        <color rgb="FF000000"/>
        <rFont val="Noto Sans CJK SC"/>
        <family val="2"/>
      </rPr>
      <t xml:space="preserve">件達成／</t>
    </r>
    <r>
      <rPr>
        <sz val="10"/>
        <color rgb="FF000000"/>
        <rFont val="Yu Gothic"/>
        <family val="0"/>
        <charset val="1"/>
      </rPr>
      <t xml:space="preserve">6</t>
    </r>
    <r>
      <rPr>
        <sz val="10"/>
        <color rgb="FF000000"/>
        <rFont val="Noto Sans CJK SC"/>
        <family val="2"/>
      </rPr>
      <t xml:space="preserve">ヶ月＝投稿量が運営の目視上限を超えた時点で</t>
    </r>
    <r>
      <rPr>
        <sz val="10"/>
        <color rgb="FF000000"/>
        <rFont val="Yu Gothic"/>
        <family val="0"/>
        <charset val="1"/>
      </rPr>
      <t xml:space="preserve">AI</t>
    </r>
    <r>
      <rPr>
        <sz val="10"/>
        <color rgb="FF000000"/>
        <rFont val="Noto Sans CJK SC"/>
        <family val="2"/>
      </rPr>
      <t xml:space="preserve">一次判定＋通報・投票による事後モデレーションへ移行、</t>
    </r>
    <r>
      <rPr>
        <sz val="10"/>
        <color rgb="FF000000"/>
        <rFont val="Yu Gothic"/>
        <family val="0"/>
        <charset val="1"/>
      </rPr>
      <t xml:space="preserve">UGC</t>
    </r>
    <r>
      <rPr>
        <sz val="10"/>
        <color rgb="FF000000"/>
        <rFont val="Noto Sans CJK SC"/>
        <family val="2"/>
      </rPr>
      <t xml:space="preserve">投稿が</t>
    </r>
    <r>
      <rPr>
        <sz val="10"/>
        <color rgb="FF000000"/>
        <rFont val="Yu Gothic"/>
        <family val="0"/>
        <charset val="1"/>
      </rPr>
      <t xml:space="preserve">AI</t>
    </r>
    <r>
      <rPr>
        <sz val="10"/>
        <color rgb="FF000000"/>
        <rFont val="Noto Sans CJK SC"/>
        <family val="2"/>
      </rPr>
      <t xml:space="preserve">記事を上回るカテゴリを</t>
    </r>
    <r>
      <rPr>
        <sz val="10"/>
        <color rgb="FF000000"/>
        <rFont val="Yu Gothic"/>
        <family val="0"/>
        <charset val="1"/>
      </rPr>
      <t xml:space="preserve">3</t>
    </r>
    <r>
      <rPr>
        <sz val="10"/>
        <color rgb="FF000000"/>
        <rFont val="Noto Sans CJK SC"/>
        <family val="2"/>
      </rPr>
      <t xml:space="preserve">割達成、月間アクティブユーザー</t>
    </r>
    <r>
      <rPr>
        <sz val="10"/>
        <color rgb="FF000000"/>
        <rFont val="Yu Gothic"/>
        <family val="0"/>
        <charset val="1"/>
      </rPr>
      <t xml:space="preserve">1</t>
    </r>
    <r>
      <rPr>
        <sz val="10"/>
        <color rgb="FF000000"/>
        <rFont val="Noto Sans CJK SC"/>
        <family val="2"/>
      </rPr>
      <t xml:space="preserve">万人／</t>
    </r>
    <r>
      <rPr>
        <sz val="10"/>
        <color rgb="FF000000"/>
        <rFont val="Yu Gothic"/>
        <family val="0"/>
        <charset val="1"/>
      </rPr>
      <t xml:space="preserve">1</t>
    </r>
    <r>
      <rPr>
        <sz val="10"/>
        <color rgb="FF000000"/>
        <rFont val="Noto Sans CJK SC"/>
        <family val="2"/>
      </rPr>
      <t xml:space="preserve">年＝主要カテゴリの過半で</t>
    </r>
    <r>
      <rPr>
        <sz val="10"/>
        <color rgb="FF000000"/>
        <rFont val="Yu Gothic"/>
        <family val="0"/>
        <charset val="1"/>
      </rPr>
      <t xml:space="preserve">UGC</t>
    </r>
    <r>
      <rPr>
        <sz val="10"/>
        <color rgb="FF000000"/>
        <rFont val="Noto Sans CJK SC"/>
        <family val="2"/>
      </rPr>
      <t xml:space="preserve">が厚みを持ち、広告・送客収益で単月黒字化（試算上の損益分岐点は</t>
    </r>
    <r>
      <rPr>
        <sz val="10"/>
        <color rgb="FF000000"/>
        <rFont val="Yu Gothic"/>
        <family val="0"/>
        <charset val="1"/>
      </rPr>
      <t xml:space="preserve">MAU</t>
    </r>
    <r>
      <rPr>
        <sz val="10"/>
        <color rgb="FF000000"/>
        <rFont val="Noto Sans CJK SC"/>
        <family val="2"/>
      </rPr>
      <t xml:space="preserve">約</t>
    </r>
    <r>
      <rPr>
        <sz val="10"/>
        <color rgb="FF000000"/>
        <rFont val="Yu Gothic"/>
        <family val="0"/>
        <charset val="1"/>
      </rPr>
      <t xml:space="preserve">1,000</t>
    </r>
    <r>
      <rPr>
        <sz val="10"/>
        <color rgb="FF000000"/>
        <rFont val="Noto Sans CJK SC"/>
        <family val="2"/>
      </rPr>
      <t xml:space="preserve">人）</t>
    </r>
  </si>
  <si>
    <t xml:space="preserve">ヒント: 各時点で達成したい状態を具体的な数値目標とともに記入</t>
  </si>
  <si>
    <t xml:space="preserve">例：3ヶ月＝1店舗でのβテスト完了／6ヶ月＝有料契約10店舗獲得／1年＝月間解約率5%以下を維持しつつ50店舗達成</t>
  </si>
  <si>
    <t xml:space="preserve">■ 更新履歴</t>
  </si>
  <si>
    <t xml:space="preserve">生成AIとの壁打ちで前提や数値が変わったら、いつ・どこを・なぜ変えたかを記録しておくと振り返りやすくなります</t>
  </si>
  <si>
    <t xml:space="preserve">更新日</t>
  </si>
  <si>
    <t xml:space="preserve">更新箇所・更新内容・理由</t>
  </si>
  <si>
    <t xml:space="preserve">初版作成。ターゲットを「幅広い一般消費者」、提供価値を「お金×幸福バランス診断」、収益モデルをフリーミアム＋アフィリエイトに設定</t>
  </si>
  <si>
    <t xml:space="preserve">コンセプトを「AI診断×提案」型から「体験談投稿×AIマッチング×コメント」の統合UGC型に変更。広告モデルの適合度を中→高に再評価し、コールドスタート対策としてAI生成記事の段階的置き換えフローを追加</t>
  </si>
  <si>
    <t xml:space="preserve">ビジネスモデルキャンバス記入欄　－　マネハピ（仮称）</t>
  </si>
  <si>
    <t xml:space="preserve">要素名</t>
  </si>
  <si>
    <t xml:space="preserve">顧客セグメント</t>
  </si>
  <si>
    <r>
      <rPr>
        <sz val="10.5"/>
        <rFont val="Noto Sans CJK SC"/>
        <family val="2"/>
      </rPr>
      <t xml:space="preserve">幅広い一般消費者。特に「日々の家計や働き方に漠然としたモヤモヤを感じている</t>
    </r>
    <r>
      <rPr>
        <sz val="10.5"/>
        <rFont val="Yu Gothic"/>
        <family val="0"/>
        <charset val="1"/>
      </rPr>
      <t xml:space="preserve">20</t>
    </r>
    <r>
      <rPr>
        <sz val="10.5"/>
        <rFont val="Noto Sans CJK SC"/>
        <family val="2"/>
      </rPr>
      <t xml:space="preserve">〜</t>
    </r>
    <r>
      <rPr>
        <sz val="10.5"/>
        <rFont val="Yu Gothic"/>
        <family val="0"/>
        <charset val="1"/>
      </rPr>
      <t xml:space="preserve">50</t>
    </r>
    <r>
      <rPr>
        <sz val="10.5"/>
        <rFont val="Noto Sans CJK SC"/>
        <family val="2"/>
      </rPr>
      <t xml:space="preserve">代の会社員・主婦層」を初期のコアユーザーとする</t>
    </r>
  </si>
  <si>
    <t xml:space="preserve">価値提案</t>
  </si>
  <si>
    <r>
      <rPr>
        <sz val="10.5"/>
        <rFont val="Noto Sans CJK SC"/>
        <family val="2"/>
      </rPr>
      <t xml:space="preserve">実体験に基づく「自分と近い状況の人のリアルな知恵」を</t>
    </r>
    <r>
      <rPr>
        <sz val="10.5"/>
        <rFont val="Yu Gothic"/>
        <family val="0"/>
        <charset val="1"/>
      </rPr>
      <t xml:space="preserve">AI</t>
    </r>
    <r>
      <rPr>
        <sz val="10.5"/>
        <rFont val="Noto Sans CJK SC"/>
        <family val="2"/>
      </rPr>
      <t xml:space="preserve">が探しやすくして届ける。お金（手取りを増やす）と幸福（価値観・気づき）を同じ場で扱い、</t>
    </r>
    <r>
      <rPr>
        <sz val="10.5"/>
        <rFont val="Yu Gothic"/>
        <family val="0"/>
        <charset val="1"/>
      </rPr>
      <t xml:space="preserve">AI</t>
    </r>
    <r>
      <rPr>
        <sz val="10.5"/>
        <rFont val="Noto Sans CJK SC"/>
        <family val="2"/>
      </rPr>
      <t xml:space="preserve">生成の一般論記事と実体験のギャップも可視化する。</t>
    </r>
    <r>
      <rPr>
        <sz val="10.5"/>
        <rFont val="Yu Gothic"/>
        <family val="0"/>
        <charset val="1"/>
      </rPr>
      <t xml:space="preserve">AI</t>
    </r>
    <r>
      <rPr>
        <sz val="10.5"/>
        <rFont val="Noto Sans CJK SC"/>
        <family val="2"/>
      </rPr>
      <t xml:space="preserve">は答えを出す役ではなく、体験談への道案内役に徹する</t>
    </r>
  </si>
  <si>
    <t xml:space="preserve">チャネル</t>
  </si>
  <si>
    <r>
      <rPr>
        <sz val="10.5"/>
        <rFont val="Yu Gothic"/>
        <family val="0"/>
        <charset val="1"/>
      </rPr>
      <t xml:space="preserve">Web</t>
    </r>
    <r>
      <rPr>
        <sz val="10.5"/>
        <rFont val="Noto Sans CJK SC"/>
        <family val="2"/>
      </rPr>
      <t xml:space="preserve">ファースト（レスポンシブサイト）。</t>
    </r>
    <r>
      <rPr>
        <sz val="10.5"/>
        <rFont val="Yu Gothic"/>
        <family val="0"/>
        <charset val="1"/>
      </rPr>
      <t xml:space="preserve">AI</t>
    </r>
    <r>
      <rPr>
        <sz val="10.5"/>
        <rFont val="Noto Sans CJK SC"/>
        <family val="2"/>
      </rPr>
      <t xml:space="preserve">生成の一般論記事による</t>
    </r>
    <r>
      <rPr>
        <sz val="10.5"/>
        <rFont val="Yu Gothic"/>
        <family val="0"/>
        <charset val="1"/>
      </rPr>
      <t xml:space="preserve">SEO</t>
    </r>
    <r>
      <rPr>
        <sz val="10.5"/>
        <rFont val="Noto Sans CJK SC"/>
        <family val="2"/>
      </rPr>
      <t xml:space="preserve">流入を集客の起点とし、</t>
    </r>
    <r>
      <rPr>
        <sz val="10.5"/>
        <rFont val="Yu Gothic"/>
        <family val="0"/>
        <charset val="1"/>
      </rPr>
      <t xml:space="preserve">SNS</t>
    </r>
    <r>
      <rPr>
        <sz val="10.5"/>
        <rFont val="Noto Sans CJK SC"/>
        <family val="2"/>
      </rPr>
      <t xml:space="preserve">・提携メディアとのタイアップで拡散する。投稿は</t>
    </r>
    <r>
      <rPr>
        <sz val="10.5"/>
        <rFont val="Yu Gothic"/>
        <family val="0"/>
        <charset val="1"/>
      </rPr>
      <t xml:space="preserve">Google</t>
    </r>
    <r>
      <rPr>
        <sz val="10.5"/>
        <rFont val="Noto Sans CJK SC"/>
        <family val="2"/>
      </rPr>
      <t xml:space="preserve">ログイン認証でオープンに受け付ける（招待制は取らない）</t>
    </r>
  </si>
  <si>
    <t xml:space="preserve">顧客との関係</t>
  </si>
  <si>
    <t xml:space="preserve">体験談への共感・コメントを通じた双方向のコミュニティ関係。状況が近いユーザー同士のゆるいつながりを軸に、専門家レビューやマッチング精度向上機能で継続利用を後押しする</t>
  </si>
  <si>
    <t xml:space="preserve">収益の流れ</t>
  </si>
  <si>
    <r>
      <rPr>
        <sz val="10.5"/>
        <rFont val="Noto Sans CJK SC"/>
        <family val="2"/>
      </rPr>
      <t xml:space="preserve">フリーミアム（マッチング精度向上・専門家レビュー閲覧が有料）＋アフィリエイト送客手数料（収支試算上、収益の約</t>
    </r>
    <r>
      <rPr>
        <sz val="10.5"/>
        <rFont val="Yu Gothic"/>
        <family val="0"/>
        <charset val="1"/>
      </rPr>
      <t xml:space="preserve">86%</t>
    </r>
    <r>
      <rPr>
        <sz val="10.5"/>
        <rFont val="Noto Sans CJK SC"/>
        <family val="2"/>
      </rPr>
      <t xml:space="preserve">を占める主軸）＋広告収益（補助的）の複合モデル。収支シミュレーション上の損益分岐点は</t>
    </r>
    <r>
      <rPr>
        <sz val="10.5"/>
        <rFont val="Yu Gothic"/>
        <family val="0"/>
        <charset val="1"/>
      </rPr>
      <t xml:space="preserve">MAU</t>
    </r>
    <r>
      <rPr>
        <sz val="10.5"/>
        <rFont val="Noto Sans CJK SC"/>
        <family val="2"/>
      </rPr>
      <t xml:space="preserve">約</t>
    </r>
    <r>
      <rPr>
        <sz val="10.5"/>
        <rFont val="Yu Gothic"/>
        <family val="0"/>
        <charset val="1"/>
      </rPr>
      <t xml:space="preserve">1,000</t>
    </r>
    <r>
      <rPr>
        <sz val="10.5"/>
        <rFont val="Noto Sans CJK SC"/>
        <family val="2"/>
      </rPr>
      <t xml:space="preserve">人（個人開発・人件費</t>
    </r>
    <r>
      <rPr>
        <sz val="10.5"/>
        <rFont val="Yu Gothic"/>
        <family val="0"/>
        <charset val="1"/>
      </rPr>
      <t xml:space="preserve">0</t>
    </r>
    <r>
      <rPr>
        <sz val="10.5"/>
        <rFont val="Noto Sans CJK SC"/>
        <family val="2"/>
      </rPr>
      <t xml:space="preserve">円前提）</t>
    </r>
  </si>
  <si>
    <t xml:space="preserve">主要な資源</t>
  </si>
  <si>
    <r>
      <rPr>
        <sz val="10.5"/>
        <rFont val="Noto Sans CJK SC"/>
        <family val="2"/>
      </rPr>
      <t xml:space="preserve">蓄積された体験談・状況タグデータ、</t>
    </r>
    <r>
      <rPr>
        <sz val="10.5"/>
        <rFont val="Yu Gothic"/>
        <family val="0"/>
        <charset val="1"/>
      </rPr>
      <t xml:space="preserve">AI</t>
    </r>
    <r>
      <rPr>
        <sz val="10.5"/>
        <rFont val="Noto Sans CJK SC"/>
        <family val="2"/>
      </rPr>
      <t xml:space="preserve">マッチングロジック、モデレーション体制、立ち上げ期の</t>
    </r>
    <r>
      <rPr>
        <sz val="10.5"/>
        <rFont val="Yu Gothic"/>
        <family val="0"/>
        <charset val="1"/>
      </rPr>
      <t xml:space="preserve">AI</t>
    </r>
    <r>
      <rPr>
        <sz val="10.5"/>
        <rFont val="Noto Sans CJK SC"/>
        <family val="2"/>
      </rPr>
      <t xml:space="preserve">生成シード記事ライブラリ</t>
    </r>
  </si>
  <si>
    <t xml:space="preserve">主要な活動</t>
  </si>
  <si>
    <r>
      <rPr>
        <sz val="10.5"/>
        <rFont val="Noto Sans CJK SC"/>
        <family val="2"/>
      </rPr>
      <t xml:space="preserve">体験談投稿の収集・モデレーション（</t>
    </r>
    <r>
      <rPr>
        <sz val="10.5"/>
        <rFont val="Yu Gothic"/>
        <family val="0"/>
        <charset val="1"/>
      </rPr>
      <t xml:space="preserve">AI</t>
    </r>
    <r>
      <rPr>
        <sz val="10.5"/>
        <rFont val="Noto Sans CJK SC"/>
        <family val="2"/>
      </rPr>
      <t xml:space="preserve">一次判定＋レート制限＋通報・投票＋重大度別の強度調整）、状況タグの設計、</t>
    </r>
    <r>
      <rPr>
        <sz val="10.5"/>
        <rFont val="Yu Gothic"/>
        <family val="0"/>
        <charset val="1"/>
      </rPr>
      <t xml:space="preserve">AI</t>
    </r>
    <r>
      <rPr>
        <sz val="10.5"/>
        <rFont val="Noto Sans CJK SC"/>
        <family val="2"/>
      </rPr>
      <t xml:space="preserve">マッチングロジックの開発・改善、一般論記事の自動更新（公的統計データ連携）、コミュニティ運営</t>
    </r>
  </si>
  <si>
    <t xml:space="preserve">主要なパートナー</t>
  </si>
  <si>
    <r>
      <rPr>
        <sz val="10.5"/>
        <rFont val="Noto Sans CJK SC"/>
        <family val="2"/>
      </rPr>
      <t xml:space="preserve">家計相談・</t>
    </r>
    <r>
      <rPr>
        <sz val="10.5"/>
        <rFont val="Yu Gothic"/>
        <family val="0"/>
        <charset val="1"/>
      </rPr>
      <t xml:space="preserve">FP</t>
    </r>
    <r>
      <rPr>
        <sz val="10.5"/>
        <rFont val="Noto Sans CJK SC"/>
        <family val="2"/>
      </rPr>
      <t xml:space="preserve">事務所、副業マッチングサービス、保険見直し窓口、ふるさと納税サイト、心理・キャリアカウンセラー</t>
    </r>
  </si>
  <si>
    <t xml:space="preserve">コスト構造</t>
  </si>
  <si>
    <r>
      <rPr>
        <sz val="10.5"/>
        <rFont val="Noto Sans CJK SC"/>
        <family val="2"/>
      </rPr>
      <t xml:space="preserve">生成</t>
    </r>
    <r>
      <rPr>
        <sz val="10.5"/>
        <rFont val="Yu Gothic"/>
        <family val="0"/>
        <charset val="1"/>
      </rPr>
      <t xml:space="preserve">AI</t>
    </r>
    <r>
      <rPr>
        <sz val="10.5"/>
        <rFont val="Noto Sans CJK SC"/>
        <family val="2"/>
      </rPr>
      <t xml:space="preserve">利用料（モデレーション・マッチング用</t>
    </r>
    <r>
      <rPr>
        <sz val="10.5"/>
        <rFont val="Yu Gothic"/>
        <family val="0"/>
        <charset val="1"/>
      </rPr>
      <t xml:space="preserve">API</t>
    </r>
    <r>
      <rPr>
        <sz val="10.5"/>
        <rFont val="Noto Sans CJK SC"/>
        <family val="2"/>
      </rPr>
      <t xml:space="preserve">）、サーバーレスホスティング費（</t>
    </r>
    <r>
      <rPr>
        <sz val="10.5"/>
        <rFont val="Yu Gothic"/>
        <family val="0"/>
        <charset val="1"/>
      </rPr>
      <t xml:space="preserve">Vercel</t>
    </r>
    <r>
      <rPr>
        <sz val="10.5"/>
        <rFont val="Noto Sans CJK SC"/>
        <family val="2"/>
      </rPr>
      <t xml:space="preserve">＋</t>
    </r>
    <r>
      <rPr>
        <sz val="10.5"/>
        <rFont val="Yu Gothic"/>
        <family val="0"/>
        <charset val="1"/>
      </rPr>
      <t xml:space="preserve">Supabase</t>
    </r>
    <r>
      <rPr>
        <sz val="10.5"/>
        <rFont val="Noto Sans CJK SC"/>
        <family val="2"/>
      </rPr>
      <t xml:space="preserve">等）。エンジニア人件費は個人開発のため</t>
    </r>
    <r>
      <rPr>
        <sz val="10.5"/>
        <rFont val="Yu Gothic"/>
        <family val="0"/>
        <charset val="1"/>
      </rPr>
      <t xml:space="preserve">0</t>
    </r>
    <r>
      <rPr>
        <sz val="10.5"/>
        <rFont val="Noto Sans CJK SC"/>
        <family val="2"/>
      </rPr>
      <t xml:space="preserve">円。コメント機能は常時接続を避けた通常の</t>
    </r>
    <r>
      <rPr>
        <sz val="10.5"/>
        <rFont val="Yu Gothic"/>
        <family val="0"/>
        <charset val="1"/>
      </rPr>
      <t xml:space="preserve">CRUD</t>
    </r>
    <r>
      <rPr>
        <sz val="10.5"/>
        <rFont val="Noto Sans CJK SC"/>
        <family val="2"/>
      </rPr>
      <t xml:space="preserve">設計とし、サーバー・メモリコストの膨張を回避する</t>
    </r>
  </si>
  <si>
    <t xml:space="preserve">生成AIプロンプト集</t>
  </si>
  <si>
    <t xml:space="preserve">各章で紹介されたプロンプトの型。【　】部分を自分のテーマに書き換えて使えます</t>
  </si>
  <si>
    <t xml:space="preserve">■ 効果的なプロンプトの基本形（2・4章共通）</t>
  </si>
  <si>
    <t xml:space="preserve">①役割（ロール）の明示＋②ゴールや前提条件＋③出力形式の指定、の3点セットを含めると回答の質が大きく上がります</t>
  </si>
  <si>
    <t xml:space="preserve">用途（対応章）</t>
  </si>
  <si>
    <t xml:space="preserve">プロンプト例（コピーして使えます）</t>
  </si>
  <si>
    <t xml:space="preserve">使うシート</t>
  </si>
  <si>
    <t xml:space="preserve">収益モデルの提案（1・4章）</t>
  </si>
  <si>
    <t xml:space="preserve">あなたは優秀な事業開発コンサルタントです。
私はこれから【サービス名】のビジネスケース（事業計画）を作成したいと思っています。
このサービスの前提条件は以下の通りです。
・ターゲット：【ターゲット】
・解決する課題：【課題】
・提供する価値：【提供する価値】
このサービスを「持続可能なビジネス」にするために、まず最適な収益モデル（マネタイズ方法）を複数提案してください。それぞれのメリット・デメリットも合わせて教えてください。</t>
  </si>
  <si>
    <t xml:space="preserve">①前提_収益モデル</t>
  </si>
  <si>
    <t xml:space="preserve">ビジネスモデルキャンバスの作成（2・4章）</t>
  </si>
  <si>
    <t xml:space="preserve">あなたはビジネスコンサルタントです。
以下のビジネスアイデアをもとに、ビジネスモデルキャンバスの9つの要素（顧客セグメント・価値提案・チャネル・顧客との関係・収益の流れ・主要な資源・主要な活動・主要なパートナー・コスト構造）をそれぞれ具体的に提案してください。
【ビジネスアイデア】
・対象顧客：【対象顧客】
・提供するサービス：【提供するサービス】
・収益方法：【収益方法】
出力はキャンバスの9要素ごとに見出しを立て、それぞれ2〜3文で簡潔に説明してください。</t>
  </si>
  <si>
    <r>
      <rPr>
        <sz val="10"/>
        <color rgb="FF000000"/>
        <rFont val="Yu Gothic"/>
        <family val="0"/>
        <charset val="1"/>
      </rPr>
      <t xml:space="preserve">②BM</t>
    </r>
    <r>
      <rPr>
        <sz val="10"/>
        <color rgb="FF000000"/>
        <rFont val="Noto Sans CJK SC"/>
        <family val="2"/>
      </rPr>
      <t xml:space="preserve">キャンバス</t>
    </r>
  </si>
  <si>
    <t xml:space="preserve">キャンバスの深掘り・矛盾チェック（2章）</t>
  </si>
  <si>
    <t xml:space="preserve">提案いただいた内容を踏まえて、以下の点を確認・補強してください。
1.「収益の流れ」と「コスト構造」のバランスは現実的ですか？問題があれば修正案を提示してください。
2.「主要なパートナー」として、他に考慮すべき協力先はありますか？
3. このビジネスモデル全体で、論理的に矛盾している箇所があれば指摘してください。</t>
  </si>
  <si>
    <t xml:space="preserve">コスト構造の検証（4章）</t>
  </si>
  <si>
    <t xml:space="preserve">先ほど作成したビジネスモデルキャンバスをもとに、このサービスのコスト構造を詳しく分析してください。
特に以下の点について教えてください。
・月額【金額】円の料金設定で採算が取れるかどうか
・AIのAPI利用料がコストを圧迫するリスクはあるか
・コストを抑えるために取れる具体的な対策はあるか</t>
  </si>
  <si>
    <t xml:space="preserve">③コスト_採算</t>
  </si>
  <si>
    <t xml:space="preserve">運用業務の洗い出し（3・4章）</t>
  </si>
  <si>
    <t xml:space="preserve">あなたは業務設計の専門家です。
私は以下のサービスを運営しようとしています。
サービス概要：【サービス内容】
想定ユーザー：【想定ユーザー】
使用ツール：【使用ツール】
このサービスをリリースした後に発生する運用業務を、以下のカテゴリごとに洗い出してください。
・保守・監視　・問い合わせ対応　・データ管理　・改善・アップデート
それぞれの業務について、発生頻度（日次・週次・月次・随時）も合わせて記載してください。</t>
  </si>
  <si>
    <t xml:space="preserve">④運用フロー</t>
  </si>
  <si>
    <t xml:space="preserve">運用タスク整理表の作成（3章）</t>
  </si>
  <si>
    <t xml:space="preserve">以下の運用タスク一覧をもとに、整理表を作成してください。
【運用タスク一覧】
【ここに精査した運用タスク一覧の内容を入力】
出力形式は以下のとおりにしてください。
・表形式で出力する
・列の項目：タスク名／担当者／使用ツール／実施頻度／備考
・実施頻度は「常時・自動」「日次」「週次」「月次」「随時」のいずれかで記載する
・担当者が不明なものは「未定」と記載する
・使用ツールが複数ある場合は「・」で区切る</t>
  </si>
  <si>
    <t xml:space="preserve">業務フロー構成案の作成（3章）</t>
  </si>
  <si>
    <t xml:space="preserve">以下の業務タスク一覧をもとに、【対象業務】のフロー図の構成案をテキスト形式で作成してください。
【タスク一覧】
【ここにタスク一覧を入力】
出力形式は以下のとおりにしてください。
・担当者ごとにブロックを分ける
・判断分岐がある箇所は「条件：〜」と明記する
・各ステップに番号をつける</t>
  </si>
  <si>
    <t xml:space="preserve">⑤業務フロー構成</t>
  </si>
  <si>
    <t xml:space="preserve">業務フロー図のレビュー（3章）</t>
  </si>
  <si>
    <t xml:space="preserve">あなたは業務設計の専門家です。
以下の業務フロー図の構成案を確認し、抜け漏れや改善すべき点を指摘してください。
【業務フロー図の構成案】
【ここにAIが作成したテキスト形式のフロー構成案を貼り付け】
以下のチェック項目に沿って確認し、問題があれば具体的な修正案も合わせて提示してください。
・フローに明確な開始と終了があるか
・実際に関わる担当者が全員登場しているか
・判断分岐（YES/NOの分かれ道）にそれぞれ対応する処理があるか
・通常フロー以外の例外やトラブル時の対処が含まれているか
・第三者が読んでも迷わない表現になっているか</t>
  </si>
  <si>
    <t xml:space="preserve">導入計画書の作成（4章）</t>
  </si>
  <si>
    <t xml:space="preserve">これまで作成した以下の内容を統合して、社内提案用の「導入計画書」を作成してください。
・ビジネスモデルキャンバス（9要素）
・運用フロー（担当・タイミング・業務内容）
・収益モデル：【収益モデル】
フォーマットは以下の構成でお願いします。
1. サービス概要（2〜3文）
2. 解決する課題と提供価値
3. 収益モデルとコスト構造の概要
4. 運用体制の概要
5. 導入のロードマップ（3ヶ月・6ヶ月・1年の目標）</t>
  </si>
  <si>
    <r>
      <rPr>
        <b val="true"/>
        <sz val="11"/>
        <color rgb="FF1F4E78"/>
        <rFont val="Yu Gothic"/>
        <family val="0"/>
        <charset val="1"/>
      </rPr>
      <t xml:space="preserve">■ AI</t>
    </r>
    <r>
      <rPr>
        <b val="true"/>
        <sz val="11"/>
        <color rgb="FF1F4E78"/>
        <rFont val="Noto Sans CJK SC"/>
        <family val="2"/>
      </rPr>
      <t xml:space="preserve">サービス特有のランニングコスト（</t>
    </r>
    <r>
      <rPr>
        <b val="true"/>
        <sz val="11"/>
        <color rgb="FF1F4E78"/>
        <rFont val="Yu Gothic"/>
        <family val="0"/>
        <charset val="1"/>
      </rPr>
      <t xml:space="preserve">1</t>
    </r>
    <r>
      <rPr>
        <b val="true"/>
        <sz val="11"/>
        <color rgb="FF1F4E78"/>
        <rFont val="Noto Sans CJK SC"/>
        <family val="2"/>
      </rPr>
      <t xml:space="preserve">章より）</t>
    </r>
  </si>
</sst>
</file>

<file path=xl/styles.xml><?xml version="1.0" encoding="utf-8"?>
<styleSheet xmlns="http://schemas.openxmlformats.org/spreadsheetml/2006/main">
  <numFmts count="3">
    <numFmt numFmtId="164" formatCode="General"/>
    <numFmt numFmtId="165" formatCode="#,##0\円"/>
    <numFmt numFmtId="166" formatCode="#,##0\人"/>
  </numFmts>
  <fonts count="32">
    <font>
      <sz val="11"/>
      <color theme="1"/>
      <name val="Calibri"/>
      <family val="2"/>
      <charset val="1"/>
    </font>
    <font>
      <sz val="10"/>
      <name val="Arial"/>
      <family val="0"/>
    </font>
    <font>
      <sz val="10"/>
      <name val="Arial"/>
      <family val="0"/>
    </font>
    <font>
      <sz val="10"/>
      <name val="Arial"/>
      <family val="0"/>
    </font>
    <font>
      <b val="true"/>
      <sz val="16"/>
      <color rgb="FF1F4E78"/>
      <name val="Noto Sans CJK SC"/>
      <family val="2"/>
      <charset val="1"/>
    </font>
    <font>
      <i val="true"/>
      <sz val="10"/>
      <color rgb="FF595959"/>
      <name val="Noto Sans CJK SC"/>
      <family val="2"/>
      <charset val="1"/>
    </font>
    <font>
      <b val="true"/>
      <sz val="11"/>
      <color rgb="FF1F4E78"/>
      <name val="Noto Sans CJK SC"/>
      <family val="2"/>
      <charset val="1"/>
    </font>
    <font>
      <sz val="10"/>
      <color rgb="FF000000"/>
      <name val="Noto Sans CJK SC"/>
      <family val="2"/>
      <charset val="1"/>
    </font>
    <font>
      <b val="true"/>
      <sz val="10"/>
      <color rgb="FF000000"/>
      <name val="Yu Gothic"/>
      <family val="0"/>
      <charset val="1"/>
    </font>
    <font>
      <b val="true"/>
      <sz val="10"/>
      <color rgb="FF000000"/>
      <name val="Noto Sans CJK SC"/>
      <family val="2"/>
      <charset val="1"/>
    </font>
    <font>
      <sz val="10"/>
      <color rgb="FF000000"/>
      <name val="Yu Gothic"/>
      <family val="0"/>
      <charset val="1"/>
    </font>
    <font>
      <sz val="10"/>
      <color rgb="FF000000"/>
      <name val="Noto Sans CJK SC"/>
      <family val="2"/>
    </font>
    <font>
      <i val="true"/>
      <sz val="10"/>
      <color rgb="FF595959"/>
      <name val="Yu Gothic"/>
      <family val="0"/>
      <charset val="1"/>
    </font>
    <font>
      <i val="true"/>
      <sz val="10"/>
      <color rgb="FF595959"/>
      <name val="Noto Sans CJK SC"/>
      <family val="2"/>
    </font>
    <font>
      <i val="true"/>
      <sz val="10"/>
      <color rgb="FF808080"/>
      <name val="Noto Sans CJK SC"/>
      <family val="2"/>
      <charset val="1"/>
    </font>
    <font>
      <i val="true"/>
      <sz val="9"/>
      <color rgb="FF595959"/>
      <name val="Noto Sans CJK SC"/>
      <family val="2"/>
      <charset val="1"/>
    </font>
    <font>
      <b val="true"/>
      <sz val="10"/>
      <color rgb="FFFFFFFF"/>
      <name val="Noto Sans CJK SC"/>
      <family val="2"/>
      <charset val="1"/>
    </font>
    <font>
      <b val="true"/>
      <sz val="11"/>
      <color rgb="FF1F4E78"/>
      <name val="Yu Gothic"/>
      <family val="0"/>
      <charset val="1"/>
    </font>
    <font>
      <b val="true"/>
      <sz val="11"/>
      <color rgb="FF1F4E78"/>
      <name val="Noto Sans CJK SC"/>
      <family val="2"/>
    </font>
    <font>
      <i val="true"/>
      <sz val="9"/>
      <color rgb="FF595959"/>
      <name val="Yu Gothic"/>
      <family val="0"/>
      <charset val="1"/>
    </font>
    <font>
      <i val="true"/>
      <sz val="9"/>
      <color rgb="FF595959"/>
      <name val="Noto Sans CJK SC"/>
      <family val="2"/>
    </font>
    <font>
      <b val="true"/>
      <sz val="10"/>
      <color rgb="FF000000"/>
      <name val="Noto Sans CJK SC"/>
      <family val="2"/>
    </font>
    <font>
      <b val="true"/>
      <sz val="10"/>
      <color rgb="FF1F4E78"/>
      <name val="Yu Gothic"/>
      <family val="0"/>
      <charset val="1"/>
    </font>
    <font>
      <i val="true"/>
      <sz val="10"/>
      <color rgb="FF808080"/>
      <name val="Yu Gothic"/>
      <family val="0"/>
      <charset val="1"/>
    </font>
    <font>
      <i val="true"/>
      <sz val="10"/>
      <color rgb="FF808080"/>
      <name val="Noto Sans CJK SC"/>
      <family val="2"/>
    </font>
    <font>
      <i val="true"/>
      <sz val="9"/>
      <color rgb="FF808080"/>
      <name val="Noto Sans CJK SC"/>
      <family val="2"/>
      <charset val="1"/>
    </font>
    <font>
      <b val="true"/>
      <sz val="13"/>
      <color rgb="FFFFFFFF"/>
      <name val="Noto Sans CJK SC"/>
      <family val="2"/>
    </font>
    <font>
      <b val="true"/>
      <sz val="11"/>
      <name val="Noto Sans CJK SC"/>
      <family val="2"/>
    </font>
    <font>
      <b val="true"/>
      <sz val="10.5"/>
      <name val="Noto Sans CJK SC"/>
      <family val="2"/>
    </font>
    <font>
      <sz val="10.5"/>
      <name val="Noto Sans CJK SC"/>
      <family val="2"/>
    </font>
    <font>
      <sz val="10.5"/>
      <name val="Yu Gothic"/>
      <family val="0"/>
      <charset val="1"/>
    </font>
    <font>
      <sz val="9.5"/>
      <color rgb="FF000000"/>
      <name val="Noto Sans CJK SC"/>
      <family val="2"/>
      <charset val="1"/>
    </font>
  </fonts>
  <fills count="8">
    <fill>
      <patternFill patternType="none"/>
    </fill>
    <fill>
      <patternFill patternType="gray125"/>
    </fill>
    <fill>
      <patternFill patternType="solid">
        <fgColor rgb="FFD9E6F2"/>
        <bgColor rgb="FFEDEDED"/>
      </patternFill>
    </fill>
    <fill>
      <patternFill patternType="solid">
        <fgColor rgb="FFEDEDED"/>
        <bgColor rgb="FFEAF1F8"/>
      </patternFill>
    </fill>
    <fill>
      <patternFill patternType="solid">
        <fgColor rgb="FFFFF9CC"/>
        <bgColor rgb="FFEDEDED"/>
      </patternFill>
    </fill>
    <fill>
      <patternFill patternType="solid">
        <fgColor rgb="FFEAF1F8"/>
        <bgColor rgb="FFEDEDED"/>
      </patternFill>
    </fill>
    <fill>
      <patternFill patternType="solid">
        <fgColor rgb="FF2E5F8A"/>
        <bgColor rgb="FF1F4E78"/>
      </patternFill>
    </fill>
    <fill>
      <patternFill patternType="solid">
        <fgColor rgb="FFE4392E"/>
        <bgColor rgb="FF993300"/>
      </patternFill>
    </fill>
  </fills>
  <borders count="6">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 diagonalUp="false" diagonalDown="false">
      <left style="thin">
        <color rgb="FFB7B7B7"/>
      </left>
      <right/>
      <top style="thin">
        <color rgb="FFB7B7B7"/>
      </top>
      <bottom style="thin">
        <color rgb="FFB7B7B7"/>
      </bottom>
      <diagonal/>
    </border>
    <border diagonalUp="false" diagonalDown="false">
      <left style="thin">
        <color rgb="FFB7B7B7"/>
      </left>
      <right/>
      <top style="thin">
        <color rgb="FFB7B7B7"/>
      </top>
      <bottom/>
      <diagonal/>
    </border>
    <border diagonalUp="false" diagonalDown="false">
      <left style="thin">
        <color rgb="FFB7B7B7"/>
      </left>
      <right style="thin">
        <color rgb="FFB7B7B7"/>
      </right>
      <top style="thin">
        <color rgb="FFB7B7B7"/>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left" vertical="center" textRotation="0" wrapText="false" indent="1" shrinkToFit="false"/>
      <protection locked="true" hidden="false"/>
    </xf>
    <xf numFmtId="164" fontId="7" fillId="0" borderId="0" xfId="0" applyFont="true" applyBorder="true" applyAlignment="true" applyProtection="false">
      <alignment horizontal="left"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0" fillId="4" borderId="1" xfId="0" applyFont="false" applyBorder="tru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center"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0" fillId="5" borderId="1" xfId="0" applyFont="false" applyBorder="true" applyAlignment="tru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left" vertical="top" textRotation="0" wrapText="true" indent="0" shrinkToFit="false"/>
      <protection locked="true" hidden="false"/>
    </xf>
    <xf numFmtId="164" fontId="12" fillId="0" borderId="0" xfId="0" applyFont="true" applyBorder="tru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14" fillId="4" borderId="2" xfId="0" applyFont="true" applyBorder="true" applyAlignment="true" applyProtection="false">
      <alignment horizontal="left" vertical="top" textRotation="0" wrapText="true" indent="0" shrinkToFit="false"/>
      <protection locked="true" hidden="false"/>
    </xf>
    <xf numFmtId="164" fontId="7" fillId="0" borderId="2" xfId="0" applyFont="true" applyBorder="true" applyAlignment="true" applyProtection="false">
      <alignment horizontal="left" vertical="top" textRotation="0" wrapText="true" indent="0" shrinkToFit="false"/>
      <protection locked="true" hidden="false"/>
    </xf>
    <xf numFmtId="164" fontId="15" fillId="0" borderId="0" xfId="0" applyFont="true" applyBorder="true" applyAlignment="true" applyProtection="false">
      <alignment horizontal="left" vertical="top" textRotation="0" wrapText="true" indent="0" shrinkToFit="false"/>
      <protection locked="true" hidden="false"/>
    </xf>
    <xf numFmtId="164" fontId="7" fillId="4" borderId="1" xfId="0" applyFont="true" applyBorder="true" applyAlignment="true" applyProtection="false">
      <alignment horizontal="center" vertical="center" textRotation="0" wrapText="false" indent="0" shrinkToFit="false"/>
      <protection locked="true" hidden="false"/>
    </xf>
    <xf numFmtId="164" fontId="7" fillId="4" borderId="3" xfId="0" applyFont="true" applyBorder="true" applyAlignment="true" applyProtection="false">
      <alignment horizontal="left" vertical="top" textRotation="0" wrapText="true" indent="0" shrinkToFit="false"/>
      <protection locked="true" hidden="false"/>
    </xf>
    <xf numFmtId="164" fontId="16" fillId="6" borderId="1" xfId="0" applyFont="true" applyBorder="true" applyAlignment="true" applyProtection="false">
      <alignment horizontal="center" vertical="center" textRotation="0" wrapText="true" indent="0" shrinkToFit="false"/>
      <protection locked="true" hidden="false"/>
    </xf>
    <xf numFmtId="164" fontId="7" fillId="4" borderId="4" xfId="0" applyFont="true" applyBorder="true" applyAlignment="true" applyProtection="false">
      <alignment horizontal="left" vertical="top" textRotation="0" wrapText="true" indent="0" shrinkToFit="false"/>
      <protection locked="true" hidden="false"/>
    </xf>
    <xf numFmtId="164" fontId="7" fillId="0" borderId="2" xfId="0" applyFont="true" applyBorder="true" applyAlignment="true" applyProtection="false">
      <alignment horizontal="general" vertical="center" textRotation="0" wrapText="false" indent="0" shrinkToFit="false"/>
      <protection locked="true" hidden="false"/>
    </xf>
    <xf numFmtId="164" fontId="7" fillId="4" borderId="1" xfId="0" applyFont="true" applyBorder="true" applyAlignment="true" applyProtection="false">
      <alignment horizontal="left" vertical="top" textRotation="0" wrapText="true" indent="0" shrinkToFit="false"/>
      <protection locked="true" hidden="false"/>
    </xf>
    <xf numFmtId="164" fontId="17" fillId="2" borderId="0" xfId="0" applyFont="true" applyBorder="true" applyAlignment="true" applyProtection="false">
      <alignment horizontal="left" vertical="center" textRotation="0" wrapText="false" indent="1" shrinkToFit="false"/>
      <protection locked="true" hidden="false"/>
    </xf>
    <xf numFmtId="164" fontId="7" fillId="4" borderId="2" xfId="0" applyFont="true" applyBorder="true" applyAlignment="true" applyProtection="false">
      <alignment horizontal="left" vertical="top" textRotation="0" wrapText="true" indent="0" shrinkToFit="false"/>
      <protection locked="true" hidden="false"/>
    </xf>
    <xf numFmtId="164" fontId="19" fillId="0" borderId="0"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5" fontId="10" fillId="4" borderId="1" xfId="0" applyFont="true" applyBorder="true" applyAlignment="true" applyProtection="false">
      <alignment horizontal="center" vertical="center" textRotation="0" wrapText="false" indent="0" shrinkToFit="false"/>
      <protection locked="true" hidden="false"/>
    </xf>
    <xf numFmtId="164" fontId="10" fillId="0" borderId="2" xfId="0" applyFont="true" applyBorder="true" applyAlignment="true" applyProtection="false">
      <alignment horizontal="left" vertical="top" textRotation="0" wrapText="true" indent="0" shrinkToFit="false"/>
      <protection locked="true" hidden="false"/>
    </xf>
    <xf numFmtId="165" fontId="22" fillId="5" borderId="1" xfId="0" applyFont="true" applyBorder="true" applyAlignment="true" applyProtection="false">
      <alignment horizontal="center" vertical="center" textRotation="0" wrapText="false" indent="0" shrinkToFit="false"/>
      <protection locked="true" hidden="false"/>
    </xf>
    <xf numFmtId="164" fontId="9" fillId="0" borderId="2" xfId="0" applyFont="true" applyBorder="true" applyAlignment="true" applyProtection="false">
      <alignment horizontal="left" vertical="top" textRotation="0" wrapText="true" indent="0" shrinkToFit="false"/>
      <protection locked="true" hidden="false"/>
    </xf>
    <xf numFmtId="166" fontId="22" fillId="5" borderId="1" xfId="0" applyFont="true" applyBorder="true" applyAlignment="true" applyProtection="false">
      <alignment horizontal="center" vertical="center" textRotation="0" wrapText="false" indent="0" shrinkToFit="false"/>
      <protection locked="true" hidden="false"/>
    </xf>
    <xf numFmtId="164" fontId="14" fillId="0" borderId="1" xfId="0" applyFont="true" applyBorder="true" applyAlignment="true" applyProtection="false">
      <alignment horizontal="left" vertical="top" textRotation="0" wrapText="true" indent="0" shrinkToFit="false"/>
      <protection locked="true" hidden="false"/>
    </xf>
    <xf numFmtId="164" fontId="23" fillId="0"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left" vertical="top" textRotation="0" wrapText="true" indent="0" shrinkToFit="false"/>
      <protection locked="true" hidden="false"/>
    </xf>
    <xf numFmtId="164" fontId="23" fillId="0"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center" vertical="center" textRotation="0" wrapText="false" indent="0" shrinkToFit="false"/>
      <protection locked="true" hidden="false"/>
    </xf>
    <xf numFmtId="164" fontId="10" fillId="4" borderId="2" xfId="0" applyFont="true" applyBorder="true" applyAlignment="true" applyProtection="false">
      <alignment horizontal="left" vertical="top" textRotation="0" wrapText="true" indent="0" shrinkToFit="false"/>
      <protection locked="true" hidden="false"/>
    </xf>
    <xf numFmtId="164" fontId="15" fillId="0" borderId="0" xfId="0" applyFont="true" applyBorder="false" applyAlignment="true" applyProtection="false">
      <alignment horizontal="left" vertical="top" textRotation="0" wrapText="true" indent="0" shrinkToFit="false"/>
      <protection locked="true" hidden="false"/>
    </xf>
    <xf numFmtId="164" fontId="25" fillId="0" borderId="0" xfId="0" applyFont="true" applyBorder="false" applyAlignment="true" applyProtection="false">
      <alignment horizontal="left" vertical="top" textRotation="0" wrapText="true" indent="0" shrinkToFit="false"/>
      <protection locked="true" hidden="false"/>
    </xf>
    <xf numFmtId="164" fontId="26" fillId="7" borderId="0" xfId="0" applyFont="true" applyBorder="true" applyAlignment="true" applyProtection="false">
      <alignment horizontal="left" vertical="center" textRotation="0" wrapText="false" indent="1" shrinkToFit="false"/>
      <protection locked="true" hidden="false"/>
    </xf>
    <xf numFmtId="164" fontId="27" fillId="0" borderId="5" xfId="0" applyFont="true" applyBorder="true" applyAlignment="true" applyProtection="false">
      <alignment horizontal="general" vertical="center" textRotation="0" wrapText="false" indent="0" shrinkToFit="false"/>
      <protection locked="true" hidden="false"/>
    </xf>
    <xf numFmtId="164" fontId="28" fillId="0" borderId="5" xfId="0" applyFont="true" applyBorder="true" applyAlignment="true" applyProtection="false">
      <alignment horizontal="general" vertical="top" textRotation="0" wrapText="true" indent="0" shrinkToFit="false"/>
      <protection locked="true" hidden="false"/>
    </xf>
    <xf numFmtId="164" fontId="29" fillId="0" borderId="5" xfId="0" applyFont="true" applyBorder="true" applyAlignment="true" applyProtection="false">
      <alignment horizontal="general" vertical="top" textRotation="0" wrapText="true" indent="0" shrinkToFit="false"/>
      <protection locked="true" hidden="false"/>
    </xf>
    <xf numFmtId="164" fontId="30" fillId="0" borderId="5" xfId="0" applyFont="true" applyBorder="true" applyAlignment="true" applyProtection="false">
      <alignment horizontal="general" vertical="top" textRotation="0" wrapText="true" indent="0" shrinkToFit="false"/>
      <protection locked="true" hidden="false"/>
    </xf>
    <xf numFmtId="164" fontId="31" fillId="0"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FBFBF"/>
      <rgbColor rgb="FF808080"/>
      <rgbColor rgb="FF9999FF"/>
      <rgbColor rgb="FF993366"/>
      <rgbColor rgb="FFFFF9CC"/>
      <rgbColor rgb="FFEAF1F8"/>
      <rgbColor rgb="FF660066"/>
      <rgbColor rgb="FFFF8080"/>
      <rgbColor rgb="FF2E5F8A"/>
      <rgbColor rgb="FFB7B7B7"/>
      <rgbColor rgb="FF000080"/>
      <rgbColor rgb="FFFF00FF"/>
      <rgbColor rgb="FFFFFF00"/>
      <rgbColor rgb="FF00FFFF"/>
      <rgbColor rgb="FF800080"/>
      <rgbColor rgb="FF800000"/>
      <rgbColor rgb="FF008080"/>
      <rgbColor rgb="FF0000FF"/>
      <rgbColor rgb="FF00CCFF"/>
      <rgbColor rgb="FFD9E6F2"/>
      <rgbColor rgb="FFEDEDED"/>
      <rgbColor rgb="FFFFFF99"/>
      <rgbColor rgb="FF99CCFF"/>
      <rgbColor rgb="FFFF99CC"/>
      <rgbColor rgb="FFCC99FF"/>
      <rgbColor rgb="FFFFCC99"/>
      <rgbColor rgb="FF2E75B6"/>
      <rgbColor rgb="FF33CCCC"/>
      <rgbColor rgb="FF99CC00"/>
      <rgbColor rgb="FFFFCC00"/>
      <rgbColor rgb="FFFF9900"/>
      <rgbColor rgb="FFE4392E"/>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D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32"/>
    <col collapsed="false" customWidth="true" hidden="false" outlineLevel="0" max="3" min="3" style="1" width="60"/>
    <col collapsed="false" customWidth="true" hidden="false" outlineLevel="0" max="4" min="4" style="1" width="20"/>
  </cols>
  <sheetData>
    <row r="1" customFormat="false" ht="30" hidden="false" customHeight="true" outlineLevel="0" collapsed="false">
      <c r="A1" s="2" t="s">
        <v>0</v>
      </c>
      <c r="B1" s="2"/>
      <c r="C1" s="2"/>
      <c r="D1" s="2"/>
    </row>
    <row r="2" customFormat="false" ht="18" hidden="false" customHeight="true" outlineLevel="0" collapsed="false">
      <c r="A2" s="3" t="s">
        <v>1</v>
      </c>
      <c r="B2" s="3"/>
      <c r="C2" s="3"/>
      <c r="D2" s="3"/>
    </row>
    <row r="4" customFormat="false" ht="21.75" hidden="false" customHeight="true" outlineLevel="0" collapsed="false">
      <c r="A4" s="4" t="s">
        <v>2</v>
      </c>
      <c r="B4" s="4"/>
      <c r="C4" s="4"/>
      <c r="D4" s="4"/>
    </row>
    <row r="5" customFormat="false" ht="90" hidden="false" customHeight="true" outlineLevel="0" collapsed="false">
      <c r="A5" s="5" t="s">
        <v>3</v>
      </c>
      <c r="B5" s="5"/>
      <c r="C5" s="5"/>
      <c r="D5" s="5"/>
    </row>
    <row r="6" customFormat="false" ht="15" hidden="false" customHeight="true" outlineLevel="0" collapsed="false">
      <c r="A6" s="5"/>
      <c r="B6" s="5"/>
      <c r="C6" s="5"/>
      <c r="D6" s="5"/>
    </row>
    <row r="7" customFormat="false" ht="15" hidden="false" customHeight="true" outlineLevel="0" collapsed="false">
      <c r="A7" s="5"/>
      <c r="B7" s="5"/>
      <c r="C7" s="5"/>
      <c r="D7" s="5"/>
    </row>
    <row r="9" customFormat="false" ht="21.75" hidden="false" customHeight="true" outlineLevel="0" collapsed="false">
      <c r="A9" s="4" t="s">
        <v>4</v>
      </c>
      <c r="B9" s="4"/>
      <c r="C9" s="4"/>
      <c r="D9" s="4"/>
    </row>
    <row r="10" customFormat="false" ht="19.5" hidden="false" customHeight="true" outlineLevel="0" collapsed="false">
      <c r="A10" s="6" t="s">
        <v>5</v>
      </c>
      <c r="B10" s="7" t="s">
        <v>6</v>
      </c>
      <c r="C10" s="7" t="s">
        <v>7</v>
      </c>
      <c r="D10" s="7" t="s">
        <v>8</v>
      </c>
    </row>
    <row r="11" customFormat="false" ht="33.75" hidden="false" customHeight="true" outlineLevel="0" collapsed="false">
      <c r="A11" s="8" t="s">
        <v>9</v>
      </c>
      <c r="B11" s="9" t="s">
        <v>10</v>
      </c>
      <c r="C11" s="9" t="s">
        <v>11</v>
      </c>
      <c r="D11" s="8" t="s">
        <v>12</v>
      </c>
    </row>
    <row r="12" customFormat="false" ht="33.75" hidden="false" customHeight="true" outlineLevel="0" collapsed="false">
      <c r="A12" s="8" t="s">
        <v>13</v>
      </c>
      <c r="B12" s="9" t="s">
        <v>14</v>
      </c>
      <c r="C12" s="8" t="s">
        <v>15</v>
      </c>
      <c r="D12" s="8" t="s">
        <v>16</v>
      </c>
    </row>
    <row r="13" customFormat="false" ht="33.75" hidden="false" customHeight="true" outlineLevel="0" collapsed="false">
      <c r="A13" s="8" t="s">
        <v>17</v>
      </c>
      <c r="B13" s="9" t="s">
        <v>18</v>
      </c>
      <c r="C13" s="8" t="s">
        <v>19</v>
      </c>
      <c r="D13" s="8" t="s">
        <v>20</v>
      </c>
    </row>
    <row r="14" customFormat="false" ht="33.75" hidden="false" customHeight="true" outlineLevel="0" collapsed="false">
      <c r="A14" s="8" t="s">
        <v>21</v>
      </c>
      <c r="B14" s="9" t="s">
        <v>22</v>
      </c>
      <c r="C14" s="9" t="s">
        <v>23</v>
      </c>
      <c r="D14" s="8" t="s">
        <v>24</v>
      </c>
    </row>
    <row r="15" customFormat="false" ht="33.75" hidden="false" customHeight="true" outlineLevel="0" collapsed="false">
      <c r="A15" s="8" t="s">
        <v>25</v>
      </c>
      <c r="B15" s="9" t="s">
        <v>26</v>
      </c>
      <c r="C15" s="9" t="s">
        <v>27</v>
      </c>
      <c r="D15" s="8" t="s">
        <v>24</v>
      </c>
    </row>
    <row r="16" customFormat="false" ht="33.75" hidden="false" customHeight="true" outlineLevel="0" collapsed="false">
      <c r="A16" s="8" t="s">
        <v>28</v>
      </c>
      <c r="B16" s="9" t="s">
        <v>29</v>
      </c>
      <c r="C16" s="9" t="s">
        <v>30</v>
      </c>
      <c r="D16" s="8" t="s">
        <v>31</v>
      </c>
    </row>
    <row r="17" customFormat="false" ht="33.75" hidden="false" customHeight="true" outlineLevel="0" collapsed="false">
      <c r="A17" s="8" t="s">
        <v>32</v>
      </c>
      <c r="B17" s="9" t="s">
        <v>33</v>
      </c>
      <c r="C17" s="9" t="s">
        <v>34</v>
      </c>
      <c r="D17" s="8" t="s">
        <v>35</v>
      </c>
    </row>
    <row r="19" customFormat="false" ht="21.75" hidden="false" customHeight="true" outlineLevel="0" collapsed="false">
      <c r="A19" s="4" t="s">
        <v>36</v>
      </c>
      <c r="B19" s="4"/>
      <c r="C19" s="4"/>
      <c r="D19" s="4"/>
    </row>
    <row r="20" customFormat="false" ht="19.5" hidden="false" customHeight="true" outlineLevel="0" collapsed="false">
      <c r="A20" s="10"/>
      <c r="B20" s="11" t="s">
        <v>37</v>
      </c>
      <c r="C20" s="9" t="s">
        <v>38</v>
      </c>
      <c r="D20" s="9"/>
    </row>
    <row r="21" customFormat="false" ht="19.5" hidden="false" customHeight="true" outlineLevel="0" collapsed="false">
      <c r="A21" s="12"/>
      <c r="B21" s="11" t="s">
        <v>39</v>
      </c>
      <c r="C21" s="9" t="s">
        <v>40</v>
      </c>
      <c r="D21" s="9"/>
    </row>
    <row r="22" customFormat="false" ht="19.5" hidden="false" customHeight="true" outlineLevel="0" collapsed="false">
      <c r="A22" s="13"/>
      <c r="B22" s="11" t="s">
        <v>41</v>
      </c>
      <c r="C22" s="9" t="s">
        <v>42</v>
      </c>
      <c r="D22" s="9"/>
    </row>
    <row r="23" customFormat="false" ht="19.5" hidden="false" customHeight="true" outlineLevel="0" collapsed="false">
      <c r="A23" s="12"/>
      <c r="B23" s="11" t="s">
        <v>43</v>
      </c>
      <c r="C23" s="9" t="s">
        <v>44</v>
      </c>
      <c r="D23" s="9"/>
    </row>
    <row r="25" customFormat="false" ht="21.75" hidden="false" customHeight="true" outlineLevel="0" collapsed="false">
      <c r="A25" s="4" t="s">
        <v>45</v>
      </c>
      <c r="B25" s="4"/>
      <c r="C25" s="4"/>
      <c r="D25" s="4"/>
    </row>
    <row r="26" customFormat="false" ht="18" hidden="false" customHeight="true" outlineLevel="0" collapsed="false">
      <c r="A26" s="14" t="s">
        <v>46</v>
      </c>
      <c r="B26" s="14"/>
      <c r="C26" s="14"/>
      <c r="D26" s="14"/>
    </row>
    <row r="27" customFormat="false" ht="18" hidden="false" customHeight="true" outlineLevel="0" collapsed="false">
      <c r="A27" s="14" t="s">
        <v>47</v>
      </c>
      <c r="B27" s="14"/>
      <c r="C27" s="14"/>
      <c r="D27" s="14"/>
    </row>
    <row r="28" customFormat="false" ht="18" hidden="false" customHeight="true" outlineLevel="0" collapsed="false">
      <c r="A28" s="14" t="s">
        <v>48</v>
      </c>
      <c r="B28" s="14"/>
      <c r="C28" s="14"/>
      <c r="D28" s="14"/>
    </row>
    <row r="29" customFormat="false" ht="18" hidden="false" customHeight="true" outlineLevel="0" collapsed="false">
      <c r="A29" s="14" t="s">
        <v>49</v>
      </c>
      <c r="B29" s="14"/>
      <c r="C29" s="14"/>
      <c r="D29" s="14"/>
    </row>
    <row r="30" customFormat="false" ht="18" hidden="false" customHeight="true" outlineLevel="0" collapsed="false">
      <c r="A30" s="14" t="s">
        <v>50</v>
      </c>
      <c r="B30" s="14"/>
      <c r="C30" s="14"/>
      <c r="D30" s="14"/>
    </row>
    <row r="31" customFormat="false" ht="18" hidden="false" customHeight="true" outlineLevel="0" collapsed="false">
      <c r="A31" s="14" t="s">
        <v>51</v>
      </c>
      <c r="B31" s="14"/>
      <c r="C31" s="14"/>
      <c r="D31" s="14"/>
    </row>
  </sheetData>
  <mergeCells count="17">
    <mergeCell ref="A1:D1"/>
    <mergeCell ref="A2:D2"/>
    <mergeCell ref="A4:D4"/>
    <mergeCell ref="A5:D7"/>
    <mergeCell ref="A9:D9"/>
    <mergeCell ref="A19:D19"/>
    <mergeCell ref="C20:D20"/>
    <mergeCell ref="C21:D21"/>
    <mergeCell ref="C22:D22"/>
    <mergeCell ref="C23:D23"/>
    <mergeCell ref="A25:D25"/>
    <mergeCell ref="A26:D26"/>
    <mergeCell ref="A27:D27"/>
    <mergeCell ref="A28:D28"/>
    <mergeCell ref="A29:D29"/>
    <mergeCell ref="A30:D30"/>
    <mergeCell ref="A31:D3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8"/>
    <pageSetUpPr fitToPage="false"/>
  </sheetPr>
  <dimension ref="A1:E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0"/>
    <col collapsed="false" customWidth="true" hidden="false" outlineLevel="0" max="2" min="2" style="1" width="34"/>
    <col collapsed="false" customWidth="true" hidden="false" outlineLevel="0" max="3" min="3" style="1" width="14"/>
    <col collapsed="false" customWidth="true" hidden="false" outlineLevel="0" max="5" min="4" style="1" width="30"/>
  </cols>
  <sheetData>
    <row r="1" customFormat="false" ht="30" hidden="false" customHeight="true" outlineLevel="0" collapsed="false">
      <c r="A1" s="2" t="s">
        <v>52</v>
      </c>
      <c r="B1" s="2"/>
      <c r="C1" s="2"/>
      <c r="D1" s="2"/>
      <c r="E1" s="2"/>
    </row>
    <row r="2" customFormat="false" ht="18" hidden="false" customHeight="true" outlineLevel="0" collapsed="false">
      <c r="A2" s="15" t="s">
        <v>53</v>
      </c>
      <c r="B2" s="15"/>
      <c r="C2" s="15"/>
      <c r="D2" s="15"/>
      <c r="E2" s="15"/>
    </row>
    <row r="4" customFormat="false" ht="21.75" hidden="false" customHeight="true" outlineLevel="0" collapsed="false">
      <c r="A4" s="4" t="s">
        <v>54</v>
      </c>
      <c r="B4" s="4"/>
      <c r="C4" s="4"/>
      <c r="D4" s="4"/>
      <c r="E4" s="4"/>
    </row>
    <row r="5" customFormat="false" ht="19.5" hidden="false" customHeight="true" outlineLevel="0" collapsed="false">
      <c r="A5" s="7" t="s">
        <v>55</v>
      </c>
      <c r="B5" s="7" t="s">
        <v>56</v>
      </c>
      <c r="C5" s="7"/>
      <c r="D5" s="7"/>
      <c r="E5" s="7"/>
    </row>
    <row r="6" customFormat="false" ht="24" hidden="false" customHeight="true" outlineLevel="0" collapsed="false">
      <c r="A6" s="16" t="s">
        <v>57</v>
      </c>
      <c r="B6" s="17" t="s">
        <v>58</v>
      </c>
      <c r="C6" s="17"/>
      <c r="D6" s="17"/>
      <c r="E6" s="17"/>
    </row>
    <row r="7" customFormat="false" ht="24" hidden="false" customHeight="true" outlineLevel="0" collapsed="false">
      <c r="A7" s="16" t="s">
        <v>59</v>
      </c>
      <c r="B7" s="17" t="s">
        <v>60</v>
      </c>
      <c r="C7" s="17"/>
      <c r="D7" s="17"/>
      <c r="E7" s="17"/>
    </row>
    <row r="8" customFormat="false" ht="24" hidden="false" customHeight="true" outlineLevel="0" collapsed="false">
      <c r="A8" s="16" t="s">
        <v>61</v>
      </c>
      <c r="B8" s="17" t="s">
        <v>62</v>
      </c>
      <c r="C8" s="17"/>
      <c r="D8" s="17"/>
      <c r="E8" s="17"/>
    </row>
    <row r="9" customFormat="false" ht="24" hidden="false" customHeight="true" outlineLevel="0" collapsed="false">
      <c r="A9" s="16" t="s">
        <v>63</v>
      </c>
      <c r="B9" s="17" t="s">
        <v>64</v>
      </c>
      <c r="C9" s="17"/>
      <c r="D9" s="17"/>
      <c r="E9" s="17"/>
    </row>
    <row r="11" customFormat="false" ht="21.75" hidden="false" customHeight="true" outlineLevel="0" collapsed="false">
      <c r="A11" s="4" t="s">
        <v>65</v>
      </c>
      <c r="B11" s="4"/>
      <c r="C11" s="4"/>
      <c r="D11" s="4"/>
      <c r="E11" s="4"/>
    </row>
    <row r="12" customFormat="false" ht="19.5" hidden="false" customHeight="true" outlineLevel="0" collapsed="false">
      <c r="A12" s="7" t="s">
        <v>66</v>
      </c>
      <c r="B12" s="7" t="s">
        <v>67</v>
      </c>
      <c r="C12" s="7"/>
      <c r="D12" s="7"/>
      <c r="E12" s="7"/>
    </row>
    <row r="13" customFormat="false" ht="15" hidden="false" customHeight="true" outlineLevel="0" collapsed="false">
      <c r="A13" s="16" t="s">
        <v>68</v>
      </c>
      <c r="B13" s="18" t="s">
        <v>69</v>
      </c>
      <c r="C13" s="18"/>
      <c r="D13" s="18"/>
      <c r="E13" s="18"/>
    </row>
    <row r="14" customFormat="false" ht="15" hidden="false" customHeight="true" outlineLevel="0" collapsed="false">
      <c r="A14" s="16" t="s">
        <v>70</v>
      </c>
      <c r="B14" s="18" t="s">
        <v>71</v>
      </c>
      <c r="C14" s="18"/>
      <c r="D14" s="18"/>
      <c r="E14" s="18"/>
    </row>
    <row r="15" customFormat="false" ht="15" hidden="false" customHeight="true" outlineLevel="0" collapsed="false">
      <c r="A15" s="16" t="s">
        <v>72</v>
      </c>
      <c r="B15" s="18" t="s">
        <v>73</v>
      </c>
      <c r="C15" s="18"/>
      <c r="D15" s="18"/>
      <c r="E15" s="18"/>
    </row>
    <row r="17" customFormat="false" ht="21.75" hidden="false" customHeight="true" outlineLevel="0" collapsed="false">
      <c r="A17" s="4" t="s">
        <v>74</v>
      </c>
      <c r="B17" s="4"/>
      <c r="C17" s="4"/>
      <c r="D17" s="4"/>
      <c r="E17" s="4"/>
    </row>
    <row r="18" customFormat="false" ht="15" hidden="false" customHeight="true" outlineLevel="0" collapsed="false">
      <c r="A18" s="19" t="s">
        <v>75</v>
      </c>
      <c r="B18" s="19"/>
      <c r="C18" s="19"/>
      <c r="D18" s="19"/>
      <c r="E18" s="19"/>
    </row>
    <row r="19" customFormat="false" ht="19.5" hidden="false" customHeight="true" outlineLevel="0" collapsed="false">
      <c r="A19" s="7" t="s">
        <v>76</v>
      </c>
      <c r="B19" s="7" t="s">
        <v>67</v>
      </c>
      <c r="C19" s="7" t="s">
        <v>77</v>
      </c>
      <c r="D19" s="7" t="s">
        <v>78</v>
      </c>
      <c r="E19" s="7" t="s">
        <v>79</v>
      </c>
    </row>
    <row r="20" customFormat="false" ht="42" hidden="false" customHeight="true" outlineLevel="0" collapsed="false">
      <c r="A20" s="16" t="s">
        <v>80</v>
      </c>
      <c r="B20" s="9" t="s">
        <v>81</v>
      </c>
      <c r="C20" s="20" t="s">
        <v>82</v>
      </c>
      <c r="D20" s="8" t="s">
        <v>83</v>
      </c>
      <c r="E20" s="9" t="s">
        <v>84</v>
      </c>
    </row>
    <row r="21" customFormat="false" ht="42" hidden="false" customHeight="true" outlineLevel="0" collapsed="false">
      <c r="A21" s="16" t="s">
        <v>85</v>
      </c>
      <c r="B21" s="9" t="s">
        <v>86</v>
      </c>
      <c r="C21" s="20" t="s">
        <v>87</v>
      </c>
      <c r="D21" s="9" t="s">
        <v>88</v>
      </c>
      <c r="E21" s="9" t="s">
        <v>89</v>
      </c>
    </row>
    <row r="22" customFormat="false" ht="42" hidden="false" customHeight="true" outlineLevel="0" collapsed="false">
      <c r="A22" s="16" t="s">
        <v>90</v>
      </c>
      <c r="B22" s="9" t="s">
        <v>91</v>
      </c>
      <c r="C22" s="20" t="s">
        <v>92</v>
      </c>
      <c r="D22" s="9" t="s">
        <v>93</v>
      </c>
      <c r="E22" s="9" t="s">
        <v>94</v>
      </c>
    </row>
    <row r="23" customFormat="false" ht="42" hidden="false" customHeight="true" outlineLevel="0" collapsed="false">
      <c r="A23" s="16" t="s">
        <v>95</v>
      </c>
      <c r="B23" s="9" t="s">
        <v>96</v>
      </c>
      <c r="C23" s="20" t="s">
        <v>92</v>
      </c>
      <c r="D23" s="9" t="s">
        <v>97</v>
      </c>
      <c r="E23" s="9" t="s">
        <v>98</v>
      </c>
    </row>
    <row r="24" customFormat="false" ht="42" hidden="false" customHeight="true" outlineLevel="0" collapsed="false">
      <c r="A24" s="16" t="s">
        <v>99</v>
      </c>
      <c r="B24" s="9" t="s">
        <v>100</v>
      </c>
      <c r="C24" s="20" t="s">
        <v>82</v>
      </c>
      <c r="D24" s="9" t="s">
        <v>101</v>
      </c>
      <c r="E24" s="9" t="s">
        <v>102</v>
      </c>
    </row>
    <row r="26" customFormat="false" ht="21.75" hidden="false" customHeight="true" outlineLevel="0" collapsed="false">
      <c r="A26" s="4" t="s">
        <v>103</v>
      </c>
      <c r="B26" s="4"/>
      <c r="C26" s="4"/>
      <c r="D26" s="4"/>
      <c r="E26" s="4"/>
    </row>
    <row r="27" customFormat="false" ht="19.5" hidden="false" customHeight="true" outlineLevel="0" collapsed="false">
      <c r="A27" s="21" t="s">
        <v>104</v>
      </c>
      <c r="B27" s="21"/>
      <c r="C27" s="21"/>
      <c r="D27" s="21"/>
      <c r="E27" s="21"/>
    </row>
    <row r="28" customFormat="false" ht="19.5" hidden="false" customHeight="true" outlineLevel="0" collapsed="false">
      <c r="A28" s="21"/>
      <c r="B28" s="21"/>
      <c r="C28" s="21"/>
      <c r="D28" s="21"/>
      <c r="E28" s="21"/>
    </row>
  </sheetData>
  <mergeCells count="17">
    <mergeCell ref="A1:E1"/>
    <mergeCell ref="A2:E2"/>
    <mergeCell ref="A4:E4"/>
    <mergeCell ref="B5:E5"/>
    <mergeCell ref="B6:E6"/>
    <mergeCell ref="B7:E7"/>
    <mergeCell ref="B8:E8"/>
    <mergeCell ref="B9:E9"/>
    <mergeCell ref="A11:E11"/>
    <mergeCell ref="B12:E12"/>
    <mergeCell ref="B13:E13"/>
    <mergeCell ref="B14:E14"/>
    <mergeCell ref="B15:E15"/>
    <mergeCell ref="A17:E17"/>
    <mergeCell ref="A18:E18"/>
    <mergeCell ref="A26:E26"/>
    <mergeCell ref="A27:E28"/>
  </mergeCells>
  <dataValidations count="1">
    <dataValidation allowBlank="true" errorStyle="stop" operator="between" showDropDown="false" showErrorMessage="false" showInputMessage="false" sqref="C20:C24" type="list">
      <formula1>"高,中,低"</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E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1" width="22"/>
    <col collapsed="false" customWidth="true" hidden="false" outlineLevel="0" max="3" min="3" style="1" width="24"/>
    <col collapsed="false" customWidth="true" hidden="false" outlineLevel="0" max="5" min="4" style="1" width="22"/>
  </cols>
  <sheetData>
    <row r="1" customFormat="false" ht="30" hidden="false" customHeight="true" outlineLevel="0" collapsed="false">
      <c r="A1" s="2" t="s">
        <v>105</v>
      </c>
      <c r="B1" s="2"/>
      <c r="C1" s="2"/>
      <c r="D1" s="2"/>
      <c r="E1" s="2"/>
    </row>
    <row r="2" customFormat="false" ht="18" hidden="false" customHeight="true" outlineLevel="0" collapsed="false">
      <c r="A2" s="15" t="s">
        <v>106</v>
      </c>
      <c r="B2" s="15"/>
      <c r="C2" s="15"/>
      <c r="D2" s="15"/>
      <c r="E2" s="15"/>
    </row>
    <row r="4" customFormat="false" ht="15" hidden="false" customHeight="true" outlineLevel="0" collapsed="false">
      <c r="A4" s="19" t="s">
        <v>107</v>
      </c>
      <c r="B4" s="19"/>
      <c r="C4" s="19"/>
      <c r="D4" s="19"/>
      <c r="E4" s="19"/>
    </row>
    <row r="6" customFormat="false" ht="19.5" hidden="false" customHeight="true" outlineLevel="0" collapsed="false">
      <c r="A6" s="22" t="s">
        <v>108</v>
      </c>
      <c r="B6" s="22" t="s">
        <v>109</v>
      </c>
      <c r="C6" s="22" t="s">
        <v>110</v>
      </c>
      <c r="D6" s="22" t="s">
        <v>111</v>
      </c>
      <c r="E6" s="22" t="s">
        <v>112</v>
      </c>
    </row>
    <row r="7" customFormat="false" ht="19.5" hidden="false" customHeight="true" outlineLevel="0" collapsed="false">
      <c r="A7" s="23" t="s">
        <v>113</v>
      </c>
      <c r="B7" s="23" t="s">
        <v>114</v>
      </c>
      <c r="C7" s="23" t="s">
        <v>115</v>
      </c>
      <c r="D7" s="23" t="s">
        <v>116</v>
      </c>
      <c r="E7" s="23" t="s">
        <v>117</v>
      </c>
    </row>
    <row r="8" customFormat="false" ht="19.5" hidden="false" customHeight="true" outlineLevel="0" collapsed="false">
      <c r="A8" s="23"/>
      <c r="B8" s="23"/>
      <c r="C8" s="23"/>
      <c r="D8" s="23"/>
      <c r="E8" s="23"/>
    </row>
    <row r="9" customFormat="false" ht="19.5" hidden="false" customHeight="true" outlineLevel="0" collapsed="false">
      <c r="A9" s="23"/>
      <c r="B9" s="23"/>
      <c r="C9" s="23"/>
      <c r="D9" s="23"/>
      <c r="E9" s="23"/>
    </row>
    <row r="10" customFormat="false" ht="19.5" hidden="false" customHeight="true" outlineLevel="0" collapsed="false">
      <c r="A10" s="23"/>
      <c r="B10" s="23"/>
      <c r="C10" s="23"/>
      <c r="D10" s="23"/>
      <c r="E10" s="23"/>
    </row>
    <row r="11" customFormat="false" ht="19.5" hidden="false" customHeight="true" outlineLevel="0" collapsed="false">
      <c r="A11" s="23"/>
      <c r="B11" s="22" t="s">
        <v>118</v>
      </c>
      <c r="C11" s="23"/>
      <c r="D11" s="22" t="s">
        <v>119</v>
      </c>
      <c r="E11" s="23"/>
    </row>
    <row r="12" customFormat="false" ht="19.5" hidden="false" customHeight="true" outlineLevel="0" collapsed="false">
      <c r="A12" s="23"/>
      <c r="B12" s="23" t="s">
        <v>120</v>
      </c>
      <c r="C12" s="23"/>
      <c r="D12" s="23" t="s">
        <v>121</v>
      </c>
      <c r="E12" s="23"/>
    </row>
    <row r="13" customFormat="false" ht="19.5" hidden="false" customHeight="true" outlineLevel="0" collapsed="false">
      <c r="A13" s="23"/>
      <c r="B13" s="23"/>
      <c r="C13" s="23"/>
      <c r="D13" s="23"/>
      <c r="E13" s="23"/>
    </row>
    <row r="14" customFormat="false" ht="19.5" hidden="false" customHeight="true" outlineLevel="0" collapsed="false">
      <c r="A14" s="23"/>
      <c r="B14" s="23"/>
      <c r="C14" s="23"/>
      <c r="D14" s="23"/>
      <c r="E14" s="23"/>
    </row>
    <row r="15" customFormat="false" ht="19.5" hidden="false" customHeight="true" outlineLevel="0" collapsed="false">
      <c r="A15" s="22" t="s">
        <v>122</v>
      </c>
      <c r="B15" s="22"/>
      <c r="C15" s="22" t="s">
        <v>123</v>
      </c>
      <c r="D15" s="22"/>
      <c r="E15" s="22"/>
    </row>
    <row r="16" customFormat="false" ht="19.5" hidden="false" customHeight="true" outlineLevel="0" collapsed="false">
      <c r="A16" s="21" t="s">
        <v>124</v>
      </c>
      <c r="B16" s="21"/>
      <c r="C16" s="21" t="s">
        <v>125</v>
      </c>
      <c r="D16" s="21"/>
      <c r="E16" s="21"/>
    </row>
    <row r="17" customFormat="false" ht="19.5" hidden="false" customHeight="true" outlineLevel="0" collapsed="false">
      <c r="A17" s="21"/>
      <c r="B17" s="21"/>
      <c r="C17" s="21"/>
      <c r="D17" s="21"/>
      <c r="E17" s="21"/>
    </row>
    <row r="18" customFormat="false" ht="19.5" hidden="false" customHeight="true" outlineLevel="0" collapsed="false">
      <c r="A18" s="21"/>
      <c r="B18" s="21"/>
      <c r="C18" s="21"/>
      <c r="D18" s="21"/>
      <c r="E18" s="21"/>
    </row>
    <row r="19" customFormat="false" ht="19.5" hidden="false" customHeight="true" outlineLevel="0" collapsed="false">
      <c r="A19" s="21"/>
      <c r="B19" s="21"/>
      <c r="C19" s="21"/>
      <c r="D19" s="21"/>
      <c r="E19" s="21"/>
    </row>
    <row r="20" customFormat="false" ht="19.5" hidden="false" customHeight="true" outlineLevel="0" collapsed="false">
      <c r="A20" s="21"/>
      <c r="B20" s="21"/>
      <c r="C20" s="21"/>
      <c r="D20" s="21"/>
      <c r="E20" s="21"/>
    </row>
    <row r="22" customFormat="false" ht="21.75" hidden="false" customHeight="true" outlineLevel="0" collapsed="false">
      <c r="A22" s="4" t="s">
        <v>126</v>
      </c>
      <c r="B22" s="4"/>
      <c r="C22" s="4"/>
      <c r="D22" s="4"/>
      <c r="E22" s="4"/>
    </row>
    <row r="23" customFormat="false" ht="15" hidden="false" customHeight="true" outlineLevel="0" collapsed="false">
      <c r="A23" s="24" t="s">
        <v>127</v>
      </c>
      <c r="B23" s="24"/>
      <c r="C23" s="24"/>
      <c r="D23" s="24"/>
      <c r="E23" s="25" t="s">
        <v>128</v>
      </c>
    </row>
    <row r="24" customFormat="false" ht="15" hidden="false" customHeight="true" outlineLevel="0" collapsed="false">
      <c r="A24" s="24" t="s">
        <v>129</v>
      </c>
      <c r="B24" s="24"/>
      <c r="C24" s="24"/>
      <c r="D24" s="24"/>
      <c r="E24" s="25" t="s">
        <v>130</v>
      </c>
    </row>
    <row r="25" customFormat="false" ht="15" hidden="false" customHeight="true" outlineLevel="0" collapsed="false">
      <c r="A25" s="24" t="s">
        <v>131</v>
      </c>
      <c r="B25" s="24"/>
      <c r="C25" s="24"/>
      <c r="D25" s="24"/>
      <c r="E25" s="25" t="s">
        <v>132</v>
      </c>
    </row>
    <row r="26" customFormat="false" ht="15" hidden="false" customHeight="true" outlineLevel="0" collapsed="false">
      <c r="A26" s="24" t="s">
        <v>133</v>
      </c>
      <c r="B26" s="24"/>
      <c r="C26" s="24"/>
      <c r="D26" s="24"/>
      <c r="E26" s="25" t="s">
        <v>134</v>
      </c>
    </row>
    <row r="27" customFormat="false" ht="15" hidden="false" customHeight="true" outlineLevel="0" collapsed="false">
      <c r="A27" s="24" t="s">
        <v>135</v>
      </c>
      <c r="B27" s="24"/>
      <c r="C27" s="24"/>
      <c r="D27" s="24"/>
      <c r="E27" s="25" t="s">
        <v>136</v>
      </c>
    </row>
    <row r="29" customFormat="false" ht="21.75" hidden="false" customHeight="true" outlineLevel="0" collapsed="false">
      <c r="A29" s="26" t="s">
        <v>137</v>
      </c>
      <c r="B29" s="26"/>
      <c r="C29" s="26"/>
      <c r="D29" s="26"/>
      <c r="E29" s="26"/>
    </row>
    <row r="30" customFormat="false" ht="19.5" hidden="false" customHeight="true" outlineLevel="0" collapsed="false">
      <c r="A30" s="7" t="s">
        <v>138</v>
      </c>
      <c r="B30" s="7" t="s">
        <v>139</v>
      </c>
      <c r="C30" s="7"/>
      <c r="D30" s="7" t="s">
        <v>140</v>
      </c>
      <c r="E30" s="7"/>
    </row>
    <row r="31" customFormat="false" ht="25.5" hidden="false" customHeight="true" outlineLevel="0" collapsed="false">
      <c r="A31" s="16" t="s">
        <v>141</v>
      </c>
      <c r="B31" s="18" t="s">
        <v>142</v>
      </c>
      <c r="C31" s="18"/>
      <c r="D31" s="27" t="s">
        <v>143</v>
      </c>
      <c r="E31" s="27"/>
    </row>
    <row r="32" customFormat="false" ht="25.5" hidden="false" customHeight="true" outlineLevel="0" collapsed="false">
      <c r="A32" s="16" t="s">
        <v>144</v>
      </c>
      <c r="B32" s="18" t="s">
        <v>145</v>
      </c>
      <c r="C32" s="18"/>
      <c r="D32" s="27" t="s">
        <v>146</v>
      </c>
      <c r="E32" s="27"/>
    </row>
    <row r="33" customFormat="false" ht="25.5" hidden="false" customHeight="true" outlineLevel="0" collapsed="false">
      <c r="A33" s="16" t="s">
        <v>147</v>
      </c>
      <c r="B33" s="18" t="s">
        <v>148</v>
      </c>
      <c r="C33" s="18"/>
      <c r="D33" s="27" t="s">
        <v>149</v>
      </c>
      <c r="E33" s="27"/>
    </row>
    <row r="35" customFormat="false" ht="21.75" hidden="false" customHeight="true" outlineLevel="0" collapsed="false">
      <c r="A35" s="4" t="s">
        <v>150</v>
      </c>
      <c r="B35" s="4"/>
      <c r="C35" s="4"/>
      <c r="D35" s="4"/>
      <c r="E35" s="4"/>
    </row>
    <row r="36" customFormat="false" ht="15" hidden="false" customHeight="true" outlineLevel="0" collapsed="false">
      <c r="A36" s="28" t="s">
        <v>151</v>
      </c>
      <c r="B36" s="28"/>
      <c r="C36" s="28"/>
      <c r="D36" s="28"/>
      <c r="E36" s="28"/>
    </row>
    <row r="37" customFormat="false" ht="29.25" hidden="false" customHeight="true" outlineLevel="0" collapsed="false">
      <c r="A37" s="16" t="s">
        <v>152</v>
      </c>
      <c r="B37" s="27" t="s">
        <v>153</v>
      </c>
      <c r="C37" s="27"/>
      <c r="D37" s="27"/>
      <c r="E37" s="27"/>
    </row>
    <row r="38" customFormat="false" ht="43.5" hidden="false" customHeight="true" outlineLevel="0" collapsed="false">
      <c r="A38" s="16" t="s">
        <v>154</v>
      </c>
      <c r="B38" s="27" t="s">
        <v>155</v>
      </c>
      <c r="C38" s="27"/>
      <c r="D38" s="27"/>
      <c r="E38" s="27"/>
    </row>
    <row r="39" customFormat="false" ht="43.5" hidden="false" customHeight="true" outlineLevel="0" collapsed="false">
      <c r="A39" s="16" t="s">
        <v>156</v>
      </c>
      <c r="B39" s="27" t="s">
        <v>157</v>
      </c>
      <c r="C39" s="27"/>
      <c r="D39" s="27"/>
      <c r="E39" s="27"/>
    </row>
  </sheetData>
  <mergeCells count="34">
    <mergeCell ref="A1:E1"/>
    <mergeCell ref="A2:E2"/>
    <mergeCell ref="A4:E4"/>
    <mergeCell ref="A7:A14"/>
    <mergeCell ref="B7:B10"/>
    <mergeCell ref="C7:C14"/>
    <mergeCell ref="D7:D10"/>
    <mergeCell ref="E7:E14"/>
    <mergeCell ref="B12:B14"/>
    <mergeCell ref="D12:D14"/>
    <mergeCell ref="A15:B15"/>
    <mergeCell ref="C15:E15"/>
    <mergeCell ref="A16:B20"/>
    <mergeCell ref="C16:E20"/>
    <mergeCell ref="A22:E22"/>
    <mergeCell ref="A23:D23"/>
    <mergeCell ref="A24:D24"/>
    <mergeCell ref="A25:D25"/>
    <mergeCell ref="A26:D26"/>
    <mergeCell ref="A27:D27"/>
    <mergeCell ref="A29:E29"/>
    <mergeCell ref="B30:C30"/>
    <mergeCell ref="D30:E30"/>
    <mergeCell ref="B31:C31"/>
    <mergeCell ref="D31:E31"/>
    <mergeCell ref="B32:C32"/>
    <mergeCell ref="D32:E32"/>
    <mergeCell ref="B33:C33"/>
    <mergeCell ref="D33:E33"/>
    <mergeCell ref="A35:E35"/>
    <mergeCell ref="A36:E36"/>
    <mergeCell ref="B37:E37"/>
    <mergeCell ref="B38:E38"/>
    <mergeCell ref="B39:E3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D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2" min="2" style="1" width="20"/>
    <col collapsed="false" customWidth="true" hidden="false" outlineLevel="0" max="3" min="3" style="1" width="34"/>
    <col collapsed="false" customWidth="true" hidden="false" outlineLevel="0" max="4" min="4" style="1" width="20"/>
  </cols>
  <sheetData>
    <row r="1" customFormat="false" ht="30" hidden="false" customHeight="true" outlineLevel="0" collapsed="false">
      <c r="A1" s="2" t="s">
        <v>158</v>
      </c>
      <c r="B1" s="2"/>
      <c r="C1" s="2"/>
      <c r="D1" s="2"/>
    </row>
    <row r="2" customFormat="false" ht="18" hidden="false" customHeight="true" outlineLevel="0" collapsed="false">
      <c r="A2" s="15" t="s">
        <v>159</v>
      </c>
      <c r="B2" s="15"/>
      <c r="C2" s="15"/>
      <c r="D2" s="15"/>
    </row>
    <row r="4" customFormat="false" ht="21.75" hidden="false" customHeight="true" outlineLevel="0" collapsed="false">
      <c r="A4" s="26" t="s">
        <v>160</v>
      </c>
      <c r="B4" s="26"/>
      <c r="C4" s="26"/>
      <c r="D4" s="26"/>
    </row>
    <row r="5" customFormat="false" ht="19.5" hidden="false" customHeight="true" outlineLevel="0" collapsed="false">
      <c r="A5" s="7" t="s">
        <v>161</v>
      </c>
      <c r="B5" s="7" t="s">
        <v>162</v>
      </c>
      <c r="C5" s="7" t="s">
        <v>67</v>
      </c>
      <c r="D5" s="7"/>
    </row>
    <row r="6" customFormat="false" ht="27.75" hidden="false" customHeight="true" outlineLevel="0" collapsed="false">
      <c r="A6" s="29" t="s">
        <v>163</v>
      </c>
      <c r="B6" s="30" t="n">
        <v>3000</v>
      </c>
      <c r="C6" s="18" t="s">
        <v>164</v>
      </c>
      <c r="D6" s="18"/>
    </row>
    <row r="7" customFormat="false" ht="27.75" hidden="false" customHeight="true" outlineLevel="0" collapsed="false">
      <c r="A7" s="16" t="s">
        <v>165</v>
      </c>
      <c r="B7" s="30" t="n">
        <v>2000</v>
      </c>
      <c r="C7" s="31" t="s">
        <v>166</v>
      </c>
      <c r="D7" s="31"/>
    </row>
    <row r="8" customFormat="false" ht="27.75" hidden="false" customHeight="true" outlineLevel="0" collapsed="false">
      <c r="A8" s="16" t="s">
        <v>167</v>
      </c>
      <c r="B8" s="30" t="n">
        <v>0</v>
      </c>
      <c r="C8" s="18" t="s">
        <v>168</v>
      </c>
      <c r="D8" s="18"/>
    </row>
    <row r="9" customFormat="false" ht="27.75" hidden="false" customHeight="true" outlineLevel="0" collapsed="false">
      <c r="A9" s="29" t="s">
        <v>169</v>
      </c>
      <c r="B9" s="30" t="n">
        <v>0</v>
      </c>
      <c r="C9" s="31" t="s">
        <v>170</v>
      </c>
      <c r="D9" s="31"/>
    </row>
    <row r="10" customFormat="false" ht="15" hidden="false" customHeight="true" outlineLevel="0" collapsed="false">
      <c r="A10" s="29" t="s">
        <v>171</v>
      </c>
      <c r="B10" s="32" t="n">
        <f aca="false">SUM(B6:B9)</f>
        <v>5000</v>
      </c>
      <c r="C10" s="18" t="s">
        <v>172</v>
      </c>
      <c r="D10" s="18"/>
    </row>
    <row r="12" customFormat="false" ht="21.75" hidden="false" customHeight="true" outlineLevel="0" collapsed="false">
      <c r="A12" s="4" t="s">
        <v>173</v>
      </c>
      <c r="B12" s="4"/>
      <c r="C12" s="4"/>
      <c r="D12" s="4"/>
    </row>
    <row r="13" customFormat="false" ht="15" hidden="false" customHeight="true" outlineLevel="0" collapsed="false">
      <c r="A13" s="19" t="s">
        <v>174</v>
      </c>
      <c r="B13" s="19"/>
      <c r="C13" s="19"/>
      <c r="D13" s="19"/>
    </row>
    <row r="14" customFormat="false" ht="19.5" hidden="false" customHeight="true" outlineLevel="0" collapsed="false">
      <c r="A14" s="7" t="s">
        <v>55</v>
      </c>
      <c r="B14" s="7"/>
      <c r="C14" s="7"/>
      <c r="D14" s="7" t="s">
        <v>175</v>
      </c>
    </row>
    <row r="15" customFormat="false" ht="15" hidden="false" customHeight="true" outlineLevel="0" collapsed="false">
      <c r="A15" s="18" t="s">
        <v>176</v>
      </c>
      <c r="B15" s="18"/>
      <c r="C15" s="18"/>
      <c r="D15" s="30" t="n">
        <v>17</v>
      </c>
    </row>
    <row r="16" customFormat="false" ht="15" hidden="false" customHeight="true" outlineLevel="0" collapsed="false">
      <c r="A16" s="18" t="s">
        <v>177</v>
      </c>
      <c r="B16" s="18"/>
      <c r="C16" s="18"/>
      <c r="D16" s="30" t="n">
        <v>1</v>
      </c>
    </row>
    <row r="17" customFormat="false" ht="15" hidden="false" customHeight="true" outlineLevel="0" collapsed="false">
      <c r="A17" s="33" t="s">
        <v>178</v>
      </c>
      <c r="B17" s="33"/>
      <c r="C17" s="33"/>
      <c r="D17" s="32" t="n">
        <f aca="false">D15-D16</f>
        <v>16</v>
      </c>
    </row>
    <row r="18" customFormat="false" ht="15" hidden="false" customHeight="true" outlineLevel="0" collapsed="false">
      <c r="A18" s="18" t="s">
        <v>179</v>
      </c>
      <c r="B18" s="18"/>
      <c r="C18" s="18"/>
      <c r="D18" s="30" t="n">
        <v>15000</v>
      </c>
    </row>
    <row r="19" customFormat="false" ht="15" hidden="false" customHeight="true" outlineLevel="0" collapsed="false">
      <c r="A19" s="33" t="s">
        <v>180</v>
      </c>
      <c r="B19" s="33"/>
      <c r="C19" s="33"/>
      <c r="D19" s="34" t="n">
        <f aca="false">IFERROR(ROUNDUP(D18/D17,0),"粗利を入力してください")</f>
        <v>938</v>
      </c>
    </row>
    <row r="21" customFormat="false" ht="31.5" hidden="false" customHeight="true" outlineLevel="0" collapsed="false">
      <c r="A21" s="19" t="s">
        <v>181</v>
      </c>
      <c r="B21" s="19"/>
      <c r="C21" s="19"/>
      <c r="D21" s="19"/>
    </row>
    <row r="23" customFormat="false" ht="21.75" hidden="false" customHeight="true" outlineLevel="0" collapsed="false">
      <c r="A23" s="4" t="s">
        <v>182</v>
      </c>
      <c r="B23" s="4"/>
      <c r="C23" s="4"/>
      <c r="D23" s="4"/>
    </row>
    <row r="24" customFormat="false" ht="26.25" hidden="false" customHeight="true" outlineLevel="0" collapsed="false">
      <c r="A24" s="19" t="s">
        <v>183</v>
      </c>
      <c r="B24" s="19"/>
      <c r="C24" s="19"/>
      <c r="D24" s="19"/>
    </row>
    <row r="25" customFormat="false" ht="15" hidden="false" customHeight="true" outlineLevel="0" collapsed="false">
      <c r="A25" s="21" t="s">
        <v>184</v>
      </c>
      <c r="B25" s="21"/>
      <c r="C25" s="21"/>
      <c r="D25" s="21"/>
    </row>
    <row r="26" customFormat="false" ht="15" hidden="false" customHeight="true" outlineLevel="0" collapsed="false">
      <c r="A26" s="21"/>
      <c r="B26" s="21"/>
      <c r="C26" s="21"/>
      <c r="D26" s="21"/>
    </row>
    <row r="27" customFormat="false" ht="15" hidden="false" customHeight="true" outlineLevel="0" collapsed="false">
      <c r="A27" s="21"/>
      <c r="B27" s="21"/>
      <c r="C27" s="21"/>
      <c r="D27" s="21"/>
    </row>
    <row r="28" customFormat="false" ht="15" hidden="false" customHeight="true" outlineLevel="0" collapsed="false">
      <c r="A28" s="21"/>
      <c r="B28" s="21"/>
      <c r="C28" s="21"/>
      <c r="D28" s="21"/>
    </row>
    <row r="29" customFormat="false" ht="15" hidden="false" customHeight="true" outlineLevel="0" collapsed="false">
      <c r="A29" s="21"/>
      <c r="B29" s="21"/>
      <c r="C29" s="21"/>
      <c r="D29" s="21"/>
    </row>
  </sheetData>
  <mergeCells count="21">
    <mergeCell ref="A1:D1"/>
    <mergeCell ref="A2:D2"/>
    <mergeCell ref="A4:D4"/>
    <mergeCell ref="C5:D5"/>
    <mergeCell ref="C6:D6"/>
    <mergeCell ref="C7:D7"/>
    <mergeCell ref="C8:D8"/>
    <mergeCell ref="C9:D9"/>
    <mergeCell ref="C10:D10"/>
    <mergeCell ref="A12:D12"/>
    <mergeCell ref="A13:D13"/>
    <mergeCell ref="A14:C14"/>
    <mergeCell ref="A15:C15"/>
    <mergeCell ref="A16:C16"/>
    <mergeCell ref="A17:C17"/>
    <mergeCell ref="A18:C18"/>
    <mergeCell ref="A19:C19"/>
    <mergeCell ref="A21:D21"/>
    <mergeCell ref="A23:D23"/>
    <mergeCell ref="A24:D24"/>
    <mergeCell ref="A25:D2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E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6"/>
    <col collapsed="false" customWidth="true" hidden="false" outlineLevel="0" max="3" min="3" style="1" width="20"/>
    <col collapsed="false" customWidth="true" hidden="false" outlineLevel="0" max="4" min="4" style="1" width="16"/>
    <col collapsed="false" customWidth="true" hidden="false" outlineLevel="0" max="5" min="5" style="1" width="26"/>
  </cols>
  <sheetData>
    <row r="1" customFormat="false" ht="30" hidden="false" customHeight="true" outlineLevel="0" collapsed="false">
      <c r="A1" s="2" t="s">
        <v>185</v>
      </c>
      <c r="B1" s="2"/>
      <c r="C1" s="2"/>
      <c r="D1" s="2"/>
      <c r="E1" s="2"/>
    </row>
    <row r="2" customFormat="false" ht="18" hidden="false" customHeight="true" outlineLevel="0" collapsed="false">
      <c r="A2" s="15" t="s">
        <v>186</v>
      </c>
      <c r="B2" s="15"/>
      <c r="C2" s="15"/>
      <c r="D2" s="15"/>
      <c r="E2" s="15"/>
    </row>
    <row r="4" customFormat="false" ht="21.75" hidden="false" customHeight="true" outlineLevel="0" collapsed="false">
      <c r="A4" s="4" t="s">
        <v>187</v>
      </c>
      <c r="B4" s="4"/>
      <c r="C4" s="4"/>
      <c r="D4" s="4"/>
      <c r="E4" s="4"/>
    </row>
    <row r="5" customFormat="false" ht="19.5" hidden="false" customHeight="true" outlineLevel="0" collapsed="false">
      <c r="A5" s="7" t="s">
        <v>188</v>
      </c>
      <c r="B5" s="7" t="s">
        <v>189</v>
      </c>
      <c r="C5" s="7"/>
      <c r="D5" s="7"/>
      <c r="E5" s="7"/>
    </row>
    <row r="6" customFormat="false" ht="15" hidden="false" customHeight="true" outlineLevel="0" collapsed="false">
      <c r="A6" s="16" t="s">
        <v>190</v>
      </c>
      <c r="B6" s="18" t="s">
        <v>191</v>
      </c>
      <c r="C6" s="18"/>
      <c r="D6" s="18"/>
      <c r="E6" s="18"/>
    </row>
    <row r="7" customFormat="false" ht="15" hidden="false" customHeight="true" outlineLevel="0" collapsed="false">
      <c r="A7" s="16" t="s">
        <v>192</v>
      </c>
      <c r="B7" s="18" t="s">
        <v>193</v>
      </c>
      <c r="C7" s="18"/>
      <c r="D7" s="18"/>
      <c r="E7" s="18"/>
    </row>
    <row r="8" customFormat="false" ht="29.25" hidden="false" customHeight="true" outlineLevel="0" collapsed="false">
      <c r="A8" s="16" t="s">
        <v>194</v>
      </c>
      <c r="B8" s="18" t="s">
        <v>195</v>
      </c>
      <c r="C8" s="18"/>
      <c r="D8" s="18"/>
      <c r="E8" s="18"/>
    </row>
    <row r="10" customFormat="false" ht="21.75" hidden="false" customHeight="true" outlineLevel="0" collapsed="false">
      <c r="A10" s="4" t="s">
        <v>196</v>
      </c>
      <c r="B10" s="4"/>
      <c r="C10" s="4"/>
      <c r="D10" s="4"/>
      <c r="E10" s="4"/>
    </row>
    <row r="11" customFormat="false" ht="26.25" hidden="false" customHeight="true" outlineLevel="0" collapsed="false">
      <c r="A11" s="19" t="s">
        <v>197</v>
      </c>
      <c r="B11" s="19"/>
      <c r="C11" s="19"/>
      <c r="D11" s="19"/>
      <c r="E11" s="19"/>
    </row>
    <row r="12" customFormat="false" ht="19.5" hidden="false" customHeight="true" outlineLevel="0" collapsed="false">
      <c r="A12" s="7" t="s">
        <v>198</v>
      </c>
      <c r="B12" s="7" t="s">
        <v>199</v>
      </c>
      <c r="C12" s="7" t="s">
        <v>200</v>
      </c>
      <c r="D12" s="7" t="s">
        <v>201</v>
      </c>
      <c r="E12" s="7" t="s">
        <v>202</v>
      </c>
    </row>
    <row r="13" customFormat="false" ht="25.5" hidden="false" customHeight="true" outlineLevel="0" collapsed="false">
      <c r="A13" s="35" t="s">
        <v>203</v>
      </c>
      <c r="B13" s="35" t="s">
        <v>204</v>
      </c>
      <c r="C13" s="35" t="s">
        <v>205</v>
      </c>
      <c r="D13" s="35" t="s">
        <v>206</v>
      </c>
      <c r="E13" s="36" t="s">
        <v>207</v>
      </c>
    </row>
    <row r="14" customFormat="false" ht="25.5" hidden="false" customHeight="true" outlineLevel="0" collapsed="false">
      <c r="A14" s="35" t="s">
        <v>208</v>
      </c>
      <c r="B14" s="35" t="s">
        <v>209</v>
      </c>
      <c r="C14" s="36" t="s">
        <v>210</v>
      </c>
      <c r="D14" s="35" t="s">
        <v>211</v>
      </c>
      <c r="E14" s="36" t="s">
        <v>212</v>
      </c>
    </row>
    <row r="15" customFormat="false" ht="25.5" hidden="false" customHeight="true" outlineLevel="0" collapsed="false">
      <c r="A15" s="35" t="s">
        <v>213</v>
      </c>
      <c r="B15" s="35" t="s">
        <v>214</v>
      </c>
      <c r="C15" s="35" t="s">
        <v>205</v>
      </c>
      <c r="D15" s="35" t="s">
        <v>215</v>
      </c>
      <c r="E15" s="36" t="s">
        <v>216</v>
      </c>
    </row>
    <row r="16" customFormat="false" ht="25.5" hidden="false" customHeight="true" outlineLevel="0" collapsed="false">
      <c r="A16" s="35" t="s">
        <v>217</v>
      </c>
      <c r="B16" s="36" t="s">
        <v>218</v>
      </c>
      <c r="C16" s="35" t="s">
        <v>219</v>
      </c>
      <c r="D16" s="35" t="s">
        <v>220</v>
      </c>
      <c r="E16" s="36" t="s">
        <v>221</v>
      </c>
    </row>
    <row r="17" customFormat="false" ht="15" hidden="false" customHeight="true" outlineLevel="0" collapsed="false">
      <c r="A17" s="25" t="s">
        <v>222</v>
      </c>
      <c r="B17" s="25" t="s">
        <v>223</v>
      </c>
      <c r="C17" s="25" t="s">
        <v>224</v>
      </c>
      <c r="D17" s="20" t="s">
        <v>225</v>
      </c>
      <c r="E17" s="25" t="s">
        <v>226</v>
      </c>
    </row>
    <row r="18" customFormat="false" ht="15" hidden="false" customHeight="true" outlineLevel="0" collapsed="false">
      <c r="A18" s="25" t="s">
        <v>203</v>
      </c>
      <c r="B18" s="25" t="s">
        <v>227</v>
      </c>
      <c r="C18" s="25" t="s">
        <v>205</v>
      </c>
      <c r="D18" s="20" t="s">
        <v>215</v>
      </c>
      <c r="E18" s="25" t="s">
        <v>228</v>
      </c>
    </row>
    <row r="19" customFormat="false" ht="15" hidden="false" customHeight="true" outlineLevel="0" collapsed="false">
      <c r="A19" s="25" t="s">
        <v>208</v>
      </c>
      <c r="B19" s="25" t="s">
        <v>229</v>
      </c>
      <c r="C19" s="25" t="s">
        <v>224</v>
      </c>
      <c r="D19" s="20" t="s">
        <v>211</v>
      </c>
      <c r="E19" s="25" t="s">
        <v>230</v>
      </c>
    </row>
    <row r="20" customFormat="false" ht="15" hidden="false" customHeight="true" outlineLevel="0" collapsed="false">
      <c r="A20" s="25" t="s">
        <v>208</v>
      </c>
      <c r="B20" s="25" t="s">
        <v>231</v>
      </c>
      <c r="C20" s="25" t="s">
        <v>224</v>
      </c>
      <c r="D20" s="20" t="s">
        <v>211</v>
      </c>
      <c r="E20" s="25" t="s">
        <v>232</v>
      </c>
    </row>
    <row r="21" customFormat="false" ht="15" hidden="false" customHeight="true" outlineLevel="0" collapsed="false">
      <c r="A21" s="25" t="s">
        <v>213</v>
      </c>
      <c r="B21" s="25" t="s">
        <v>233</v>
      </c>
      <c r="C21" s="25" t="s">
        <v>205</v>
      </c>
      <c r="D21" s="20" t="s">
        <v>215</v>
      </c>
      <c r="E21" s="25" t="s">
        <v>234</v>
      </c>
    </row>
    <row r="22" customFormat="false" ht="15" hidden="false" customHeight="true" outlineLevel="0" collapsed="false">
      <c r="A22" s="25" t="s">
        <v>213</v>
      </c>
      <c r="B22" s="25" t="s">
        <v>235</v>
      </c>
      <c r="C22" s="25" t="s">
        <v>205</v>
      </c>
      <c r="D22" s="20" t="s">
        <v>220</v>
      </c>
      <c r="E22" s="25" t="s">
        <v>236</v>
      </c>
    </row>
    <row r="23" customFormat="false" ht="15" hidden="false" customHeight="true" outlineLevel="0" collapsed="false">
      <c r="A23" s="25" t="s">
        <v>217</v>
      </c>
      <c r="B23" s="25" t="s">
        <v>237</v>
      </c>
      <c r="C23" s="25" t="s">
        <v>224</v>
      </c>
      <c r="D23" s="20" t="s">
        <v>220</v>
      </c>
      <c r="E23" s="25" t="s">
        <v>238</v>
      </c>
    </row>
    <row r="24" customFormat="false" ht="15" hidden="false" customHeight="true" outlineLevel="0" collapsed="false">
      <c r="A24" s="25" t="s">
        <v>217</v>
      </c>
      <c r="B24" s="25" t="s">
        <v>239</v>
      </c>
      <c r="C24" s="25" t="s">
        <v>240</v>
      </c>
      <c r="D24" s="20" t="s">
        <v>220</v>
      </c>
      <c r="E24" s="25" t="s">
        <v>241</v>
      </c>
    </row>
    <row r="25" customFormat="false" ht="15" hidden="false" customHeight="true" outlineLevel="0" collapsed="false">
      <c r="A25" s="25" t="s">
        <v>242</v>
      </c>
      <c r="B25" s="25" t="s">
        <v>243</v>
      </c>
      <c r="C25" s="25" t="s">
        <v>244</v>
      </c>
      <c r="D25" s="20" t="s">
        <v>211</v>
      </c>
      <c r="E25" s="25" t="s">
        <v>245</v>
      </c>
    </row>
    <row r="26" customFormat="false" ht="15" hidden="false" customHeight="true" outlineLevel="0" collapsed="false">
      <c r="A26" s="25" t="s">
        <v>242</v>
      </c>
      <c r="B26" s="25" t="s">
        <v>246</v>
      </c>
      <c r="C26" s="25" t="s">
        <v>224</v>
      </c>
      <c r="D26" s="20" t="s">
        <v>220</v>
      </c>
      <c r="E26" s="25" t="s">
        <v>247</v>
      </c>
    </row>
    <row r="28" customFormat="false" ht="21.75" hidden="false" customHeight="true" outlineLevel="0" collapsed="false">
      <c r="A28" s="4" t="s">
        <v>248</v>
      </c>
      <c r="B28" s="4"/>
      <c r="C28" s="4"/>
      <c r="D28" s="4"/>
      <c r="E28" s="4"/>
    </row>
    <row r="29" customFormat="false" ht="15" hidden="false" customHeight="true" outlineLevel="0" collapsed="false">
      <c r="A29" s="19" t="s">
        <v>249</v>
      </c>
      <c r="B29" s="19"/>
      <c r="C29" s="19"/>
      <c r="D29" s="19"/>
      <c r="E29" s="19"/>
    </row>
    <row r="30" customFormat="false" ht="19.5" hidden="false" customHeight="true" outlineLevel="0" collapsed="false">
      <c r="A30" s="7" t="s">
        <v>250</v>
      </c>
      <c r="B30" s="7" t="s">
        <v>251</v>
      </c>
      <c r="C30" s="7"/>
      <c r="D30" s="7" t="s">
        <v>252</v>
      </c>
      <c r="E30" s="7"/>
    </row>
    <row r="31" customFormat="false" ht="29.25" hidden="false" customHeight="true" outlineLevel="0" collapsed="false">
      <c r="A31" s="37" t="s">
        <v>253</v>
      </c>
      <c r="B31" s="18" t="s">
        <v>254</v>
      </c>
      <c r="C31" s="18"/>
      <c r="D31" s="27" t="s">
        <v>255</v>
      </c>
      <c r="E31" s="27"/>
    </row>
    <row r="32" customFormat="false" ht="29.25" hidden="false" customHeight="true" outlineLevel="0" collapsed="false">
      <c r="A32" s="37" t="s">
        <v>256</v>
      </c>
      <c r="B32" s="18" t="s">
        <v>257</v>
      </c>
      <c r="C32" s="18"/>
      <c r="D32" s="27" t="s">
        <v>205</v>
      </c>
      <c r="E32" s="27"/>
    </row>
    <row r="33" customFormat="false" ht="15" hidden="false" customHeight="true" outlineLevel="0" collapsed="false">
      <c r="A33" s="37" t="s">
        <v>258</v>
      </c>
      <c r="B33" s="18" t="s">
        <v>259</v>
      </c>
      <c r="C33" s="18"/>
      <c r="D33" s="27" t="s">
        <v>260</v>
      </c>
      <c r="E33" s="27"/>
    </row>
    <row r="34" customFormat="false" ht="29.25" hidden="false" customHeight="true" outlineLevel="0" collapsed="false">
      <c r="A34" s="37" t="s">
        <v>261</v>
      </c>
      <c r="B34" s="18" t="s">
        <v>262</v>
      </c>
      <c r="C34" s="18"/>
      <c r="D34" s="27" t="s">
        <v>205</v>
      </c>
      <c r="E34" s="27"/>
    </row>
    <row r="35" customFormat="false" ht="15" hidden="false" customHeight="true" outlineLevel="0" collapsed="false">
      <c r="A35" s="37" t="s">
        <v>263</v>
      </c>
      <c r="B35" s="18" t="s">
        <v>264</v>
      </c>
      <c r="C35" s="18"/>
      <c r="D35" s="27" t="s">
        <v>265</v>
      </c>
      <c r="E35" s="27"/>
    </row>
    <row r="37" customFormat="false" ht="21.75" hidden="false" customHeight="true" outlineLevel="0" collapsed="false">
      <c r="A37" s="4" t="s">
        <v>266</v>
      </c>
      <c r="B37" s="4"/>
      <c r="C37" s="4"/>
      <c r="D37" s="4"/>
      <c r="E37" s="4"/>
    </row>
    <row r="38" customFormat="false" ht="26.25" hidden="false" customHeight="true" outlineLevel="0" collapsed="false">
      <c r="A38" s="19" t="s">
        <v>267</v>
      </c>
      <c r="B38" s="19"/>
      <c r="C38" s="19"/>
      <c r="D38" s="19"/>
      <c r="E38" s="19"/>
    </row>
    <row r="39" customFormat="false" ht="19.5" hidden="false" customHeight="true" outlineLevel="0" collapsed="false">
      <c r="A39" s="7" t="s">
        <v>268</v>
      </c>
      <c r="B39" s="7" t="s">
        <v>269</v>
      </c>
      <c r="C39" s="7" t="s">
        <v>270</v>
      </c>
      <c r="D39" s="7" t="s">
        <v>271</v>
      </c>
      <c r="E39" s="7" t="s">
        <v>272</v>
      </c>
    </row>
    <row r="40" customFormat="false" ht="15" hidden="false" customHeight="true" outlineLevel="0" collapsed="false">
      <c r="A40" s="25" t="s">
        <v>273</v>
      </c>
      <c r="B40" s="25" t="s">
        <v>274</v>
      </c>
      <c r="C40" s="25" t="s">
        <v>275</v>
      </c>
      <c r="D40" s="25" t="s">
        <v>276</v>
      </c>
      <c r="E40" s="38" t="s">
        <v>277</v>
      </c>
    </row>
    <row r="41" customFormat="false" ht="15" hidden="false" customHeight="true" outlineLevel="0" collapsed="false">
      <c r="A41" s="25" t="s">
        <v>278</v>
      </c>
      <c r="B41" s="25" t="s">
        <v>279</v>
      </c>
      <c r="C41" s="25" t="s">
        <v>280</v>
      </c>
      <c r="D41" s="25" t="s">
        <v>281</v>
      </c>
      <c r="E41" s="25" t="s">
        <v>282</v>
      </c>
    </row>
    <row r="42" customFormat="false" ht="15" hidden="false" customHeight="true" outlineLevel="0" collapsed="false">
      <c r="A42" s="25" t="s">
        <v>283</v>
      </c>
      <c r="B42" s="25" t="s">
        <v>284</v>
      </c>
      <c r="C42" s="25" t="s">
        <v>285</v>
      </c>
      <c r="D42" s="25" t="s">
        <v>276</v>
      </c>
      <c r="E42" s="25" t="s">
        <v>282</v>
      </c>
    </row>
    <row r="43" customFormat="false" ht="15" hidden="false" customHeight="true" outlineLevel="0" collapsed="false">
      <c r="A43" s="25" t="s">
        <v>286</v>
      </c>
      <c r="B43" s="25" t="s">
        <v>287</v>
      </c>
      <c r="C43" s="25" t="s">
        <v>288</v>
      </c>
      <c r="D43" s="25" t="s">
        <v>289</v>
      </c>
      <c r="E43" s="25" t="s">
        <v>290</v>
      </c>
    </row>
  </sheetData>
  <mergeCells count="25">
    <mergeCell ref="A1:E1"/>
    <mergeCell ref="A2:E2"/>
    <mergeCell ref="A4:E4"/>
    <mergeCell ref="B5:E5"/>
    <mergeCell ref="B6:E6"/>
    <mergeCell ref="B7:E7"/>
    <mergeCell ref="B8:E8"/>
    <mergeCell ref="A10:E10"/>
    <mergeCell ref="A11:E11"/>
    <mergeCell ref="A28:E28"/>
    <mergeCell ref="A29:E29"/>
    <mergeCell ref="B30:C30"/>
    <mergeCell ref="D30:E30"/>
    <mergeCell ref="B31:C31"/>
    <mergeCell ref="D31:E31"/>
    <mergeCell ref="B32:C32"/>
    <mergeCell ref="D32:E32"/>
    <mergeCell ref="B33:C33"/>
    <mergeCell ref="D33:E33"/>
    <mergeCell ref="B34:C34"/>
    <mergeCell ref="D34:E34"/>
    <mergeCell ref="B35:C35"/>
    <mergeCell ref="D35:E35"/>
    <mergeCell ref="A37:E37"/>
    <mergeCell ref="A38:E38"/>
  </mergeCells>
  <dataValidations count="2">
    <dataValidation allowBlank="true" errorStyle="stop" operator="between" showDropDown="false" showErrorMessage="false" showInputMessage="false" sqref="A13:A26" type="list">
      <formula1>"保守・監視,問い合わせ対応,データ管理,改善・アップデート"</formula1>
      <formula2>0</formula2>
    </dataValidation>
    <dataValidation allowBlank="true" errorStyle="stop" operator="between" showDropDown="false" showErrorMessage="false" showInputMessage="false" sqref="D13:D26" type="list">
      <formula1>"常時・自動,日次,週次,月次,随時"</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F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6"/>
    <col collapsed="false" customWidth="true" hidden="false" outlineLevel="0" max="3" min="3" style="1" width="34"/>
    <col collapsed="false" customWidth="true" hidden="false" outlineLevel="0" max="4" min="4" style="1" width="20"/>
    <col collapsed="false" customWidth="true" hidden="false" outlineLevel="0" max="6" min="5" style="1" width="18"/>
  </cols>
  <sheetData>
    <row r="1" customFormat="false" ht="30" hidden="false" customHeight="true" outlineLevel="0" collapsed="false">
      <c r="A1" s="2" t="s">
        <v>291</v>
      </c>
      <c r="B1" s="2"/>
      <c r="C1" s="2"/>
      <c r="D1" s="2"/>
      <c r="E1" s="2"/>
      <c r="F1" s="2"/>
    </row>
    <row r="2" customFormat="false" ht="18" hidden="false" customHeight="true" outlineLevel="0" collapsed="false">
      <c r="A2" s="15" t="s">
        <v>292</v>
      </c>
      <c r="B2" s="15"/>
      <c r="C2" s="15"/>
      <c r="D2" s="15"/>
      <c r="E2" s="15"/>
      <c r="F2" s="15"/>
    </row>
    <row r="4" customFormat="false" ht="21.75" hidden="false" customHeight="true" outlineLevel="0" collapsed="false">
      <c r="A4" s="4" t="s">
        <v>293</v>
      </c>
      <c r="B4" s="4"/>
      <c r="C4" s="4"/>
      <c r="D4" s="4"/>
      <c r="E4" s="4"/>
      <c r="F4" s="4"/>
    </row>
    <row r="5" customFormat="false" ht="21.75" hidden="false" customHeight="true" outlineLevel="0" collapsed="false">
      <c r="A5" s="27" t="s">
        <v>294</v>
      </c>
      <c r="B5" s="27"/>
      <c r="C5" s="27"/>
      <c r="D5" s="27"/>
      <c r="E5" s="27"/>
      <c r="F5" s="27"/>
    </row>
    <row r="7" customFormat="false" ht="21.75" hidden="false" customHeight="true" outlineLevel="0" collapsed="false">
      <c r="A7" s="4" t="s">
        <v>295</v>
      </c>
      <c r="B7" s="4"/>
      <c r="C7" s="4"/>
      <c r="D7" s="4"/>
      <c r="E7" s="4"/>
      <c r="F7" s="4"/>
    </row>
    <row r="8" customFormat="false" ht="26.25" hidden="false" customHeight="true" outlineLevel="0" collapsed="false">
      <c r="A8" s="19" t="s">
        <v>296</v>
      </c>
      <c r="B8" s="19"/>
      <c r="C8" s="19"/>
      <c r="D8" s="19"/>
      <c r="E8" s="19"/>
      <c r="F8" s="19"/>
    </row>
    <row r="9" customFormat="false" ht="19.5" hidden="false" customHeight="true" outlineLevel="0" collapsed="false">
      <c r="A9" s="6" t="s">
        <v>5</v>
      </c>
      <c r="B9" s="7" t="s">
        <v>200</v>
      </c>
      <c r="C9" s="7" t="s">
        <v>297</v>
      </c>
      <c r="D9" s="7" t="s">
        <v>298</v>
      </c>
      <c r="E9" s="6" t="s">
        <v>299</v>
      </c>
      <c r="F9" s="6" t="s">
        <v>300</v>
      </c>
    </row>
    <row r="10" customFormat="false" ht="27.75" hidden="false" customHeight="true" outlineLevel="0" collapsed="false">
      <c r="A10" s="39" t="s">
        <v>9</v>
      </c>
      <c r="B10" s="35" t="s">
        <v>301</v>
      </c>
      <c r="C10" s="35" t="s">
        <v>302</v>
      </c>
      <c r="D10" s="35"/>
      <c r="E10" s="35"/>
      <c r="F10" s="35"/>
    </row>
    <row r="11" customFormat="false" ht="27.75" hidden="false" customHeight="true" outlineLevel="0" collapsed="false">
      <c r="A11" s="39" t="s">
        <v>13</v>
      </c>
      <c r="B11" s="35" t="s">
        <v>303</v>
      </c>
      <c r="C11" s="35" t="s">
        <v>304</v>
      </c>
      <c r="D11" s="35" t="s">
        <v>305</v>
      </c>
      <c r="E11" s="36" t="s">
        <v>306</v>
      </c>
      <c r="F11" s="36" t="s">
        <v>307</v>
      </c>
    </row>
    <row r="12" customFormat="false" ht="27.75" hidden="false" customHeight="true" outlineLevel="0" collapsed="false">
      <c r="A12" s="39" t="s">
        <v>17</v>
      </c>
      <c r="B12" s="35" t="s">
        <v>200</v>
      </c>
      <c r="C12" s="35" t="s">
        <v>308</v>
      </c>
      <c r="D12" s="35" t="s">
        <v>309</v>
      </c>
      <c r="E12" s="36" t="s">
        <v>310</v>
      </c>
      <c r="F12" s="35" t="s">
        <v>311</v>
      </c>
    </row>
    <row r="13" customFormat="false" ht="15" hidden="false" customHeight="true" outlineLevel="0" collapsed="false">
      <c r="A13" s="40" t="s">
        <v>21</v>
      </c>
      <c r="B13" s="25" t="s">
        <v>301</v>
      </c>
      <c r="C13" s="25" t="s">
        <v>312</v>
      </c>
      <c r="D13" s="38"/>
      <c r="E13" s="38"/>
      <c r="F13" s="38"/>
    </row>
    <row r="14" customFormat="false" ht="15" hidden="false" customHeight="true" outlineLevel="0" collapsed="false">
      <c r="A14" s="40" t="s">
        <v>25</v>
      </c>
      <c r="B14" s="25" t="s">
        <v>313</v>
      </c>
      <c r="C14" s="25" t="s">
        <v>314</v>
      </c>
      <c r="D14" s="25" t="s">
        <v>315</v>
      </c>
      <c r="E14" s="25" t="s">
        <v>316</v>
      </c>
      <c r="F14" s="25" t="s">
        <v>317</v>
      </c>
    </row>
    <row r="15" customFormat="false" ht="15" hidden="false" customHeight="true" outlineLevel="0" collapsed="false">
      <c r="A15" s="40" t="s">
        <v>28</v>
      </c>
      <c r="B15" s="25" t="s">
        <v>244</v>
      </c>
      <c r="C15" s="25" t="s">
        <v>318</v>
      </c>
      <c r="D15" s="38"/>
      <c r="E15" s="38"/>
      <c r="F15" s="38"/>
    </row>
    <row r="16" customFormat="false" ht="15" hidden="false" customHeight="true" outlineLevel="0" collapsed="false">
      <c r="A16" s="40" t="s">
        <v>32</v>
      </c>
      <c r="B16" s="25" t="s">
        <v>313</v>
      </c>
      <c r="C16" s="25" t="s">
        <v>319</v>
      </c>
      <c r="D16" s="38"/>
      <c r="E16" s="38"/>
      <c r="F16" s="38"/>
    </row>
    <row r="17" customFormat="false" ht="15" hidden="false" customHeight="true" outlineLevel="0" collapsed="false">
      <c r="A17" s="40" t="s">
        <v>320</v>
      </c>
      <c r="B17" s="25" t="s">
        <v>301</v>
      </c>
      <c r="C17" s="25" t="s">
        <v>321</v>
      </c>
      <c r="D17" s="38"/>
      <c r="E17" s="38"/>
      <c r="F17" s="38"/>
    </row>
    <row r="18" customFormat="false" ht="15" hidden="false" customHeight="true" outlineLevel="0" collapsed="false">
      <c r="A18" s="40" t="s">
        <v>322</v>
      </c>
      <c r="B18" s="25" t="s">
        <v>323</v>
      </c>
      <c r="C18" s="25" t="s">
        <v>324</v>
      </c>
      <c r="D18" s="25" t="s">
        <v>325</v>
      </c>
      <c r="E18" s="25" t="s">
        <v>326</v>
      </c>
      <c r="F18" s="25" t="s">
        <v>327</v>
      </c>
    </row>
    <row r="19" customFormat="false" ht="15" hidden="false" customHeight="true" outlineLevel="0" collapsed="false">
      <c r="A19" s="40" t="s">
        <v>328</v>
      </c>
      <c r="B19" s="25" t="s">
        <v>313</v>
      </c>
      <c r="C19" s="25" t="s">
        <v>329</v>
      </c>
      <c r="D19" s="38"/>
      <c r="E19" s="38"/>
      <c r="F19" s="38"/>
    </row>
    <row r="21" customFormat="false" ht="21.75" hidden="false" customHeight="true" outlineLevel="0" collapsed="false">
      <c r="A21" s="4" t="s">
        <v>330</v>
      </c>
      <c r="B21" s="4"/>
      <c r="C21" s="4"/>
      <c r="D21" s="4"/>
      <c r="E21" s="4"/>
      <c r="F21" s="4"/>
    </row>
    <row r="22" customFormat="false" ht="15" hidden="false" customHeight="true" outlineLevel="0" collapsed="false">
      <c r="A22" s="19" t="s">
        <v>331</v>
      </c>
      <c r="B22" s="19"/>
      <c r="C22" s="19"/>
      <c r="D22" s="19"/>
      <c r="E22" s="19"/>
      <c r="F22" s="19"/>
    </row>
    <row r="23" customFormat="false" ht="19.5" hidden="false" customHeight="true" outlineLevel="0" collapsed="false">
      <c r="A23" s="7" t="s">
        <v>332</v>
      </c>
      <c r="B23" s="7" t="s">
        <v>333</v>
      </c>
      <c r="C23" s="7"/>
      <c r="D23" s="7"/>
      <c r="E23" s="7" t="s">
        <v>334</v>
      </c>
      <c r="F23" s="7"/>
    </row>
    <row r="24" customFormat="false" ht="24" hidden="false" customHeight="true" outlineLevel="0" collapsed="false">
      <c r="A24" s="41" t="s">
        <v>335</v>
      </c>
      <c r="B24" s="18" t="s">
        <v>336</v>
      </c>
      <c r="C24" s="18"/>
      <c r="D24" s="18"/>
      <c r="E24" s="27" t="s">
        <v>337</v>
      </c>
      <c r="F24" s="27"/>
    </row>
    <row r="25" customFormat="false" ht="24" hidden="false" customHeight="true" outlineLevel="0" collapsed="false">
      <c r="A25" s="41" t="s">
        <v>335</v>
      </c>
      <c r="B25" s="18" t="s">
        <v>338</v>
      </c>
      <c r="C25" s="18"/>
      <c r="D25" s="18"/>
      <c r="E25" s="27" t="s">
        <v>339</v>
      </c>
      <c r="F25" s="27"/>
    </row>
    <row r="26" customFormat="false" ht="24" hidden="false" customHeight="true" outlineLevel="0" collapsed="false">
      <c r="A26" s="41" t="s">
        <v>335</v>
      </c>
      <c r="B26" s="18" t="s">
        <v>340</v>
      </c>
      <c r="C26" s="18"/>
      <c r="D26" s="18"/>
      <c r="E26" s="27" t="s">
        <v>341</v>
      </c>
      <c r="F26" s="27"/>
    </row>
    <row r="27" customFormat="false" ht="24" hidden="false" customHeight="true" outlineLevel="0" collapsed="false">
      <c r="A27" s="20" t="s">
        <v>342</v>
      </c>
      <c r="B27" s="18" t="s">
        <v>343</v>
      </c>
      <c r="C27" s="18"/>
      <c r="D27" s="18"/>
      <c r="E27" s="42" t="s">
        <v>344</v>
      </c>
      <c r="F27" s="42"/>
    </row>
    <row r="28" customFormat="false" ht="24" hidden="false" customHeight="true" outlineLevel="0" collapsed="false">
      <c r="A28" s="41" t="s">
        <v>335</v>
      </c>
      <c r="B28" s="18" t="s">
        <v>345</v>
      </c>
      <c r="C28" s="18"/>
      <c r="D28" s="18"/>
      <c r="E28" s="27" t="s">
        <v>346</v>
      </c>
      <c r="F28" s="27"/>
    </row>
  </sheetData>
  <mergeCells count="20">
    <mergeCell ref="A1:F1"/>
    <mergeCell ref="A2:F2"/>
    <mergeCell ref="A4:F4"/>
    <mergeCell ref="A5:F5"/>
    <mergeCell ref="A7:F7"/>
    <mergeCell ref="A8:F8"/>
    <mergeCell ref="A21:F21"/>
    <mergeCell ref="A22:F22"/>
    <mergeCell ref="B23:D23"/>
    <mergeCell ref="E23:F23"/>
    <mergeCell ref="B24:D24"/>
    <mergeCell ref="E24:F24"/>
    <mergeCell ref="B25:D25"/>
    <mergeCell ref="E25:F25"/>
    <mergeCell ref="B26:D26"/>
    <mergeCell ref="E26:F26"/>
    <mergeCell ref="B27:D27"/>
    <mergeCell ref="E27:F27"/>
    <mergeCell ref="B28:D28"/>
    <mergeCell ref="E28:F28"/>
  </mergeCells>
  <dataValidations count="1">
    <dataValidation allowBlank="true" errorStyle="stop" operator="between" showDropDown="false" showErrorMessage="false" showInputMessage="false" sqref="A24:A28" type="list">
      <formula1>"OK,要修正"</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B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70"/>
  </cols>
  <sheetData>
    <row r="1" customFormat="false" ht="30" hidden="false" customHeight="true" outlineLevel="0" collapsed="false">
      <c r="A1" s="2" t="s">
        <v>347</v>
      </c>
      <c r="B1" s="2"/>
    </row>
    <row r="2" customFormat="false" ht="18" hidden="false" customHeight="true" outlineLevel="0" collapsed="false">
      <c r="A2" s="15" t="s">
        <v>348</v>
      </c>
      <c r="B2" s="15"/>
    </row>
    <row r="4" customFormat="false" ht="21.75" hidden="false" customHeight="true" outlineLevel="0" collapsed="false">
      <c r="A4" s="4" t="s">
        <v>349</v>
      </c>
      <c r="B4" s="4"/>
    </row>
    <row r="5" customFormat="false" ht="19.5" hidden="false" customHeight="true" outlineLevel="0" collapsed="false">
      <c r="A5" s="7" t="s">
        <v>55</v>
      </c>
      <c r="B5" s="7" t="s">
        <v>7</v>
      </c>
    </row>
    <row r="6" customFormat="false" ht="15" hidden="false" customHeight="true" outlineLevel="0" collapsed="false">
      <c r="A6" s="16" t="s">
        <v>350</v>
      </c>
      <c r="B6" s="25" t="s">
        <v>351</v>
      </c>
    </row>
    <row r="7" customFormat="false" ht="15" hidden="false" customHeight="true" outlineLevel="0" collapsed="false">
      <c r="A7" s="16" t="s">
        <v>352</v>
      </c>
      <c r="B7" s="25" t="s">
        <v>353</v>
      </c>
    </row>
    <row r="8" customFormat="false" ht="15" hidden="false" customHeight="true" outlineLevel="0" collapsed="false">
      <c r="A8" s="16" t="s">
        <v>354</v>
      </c>
      <c r="B8" s="38" t="s">
        <v>355</v>
      </c>
    </row>
    <row r="9" customFormat="false" ht="15" hidden="false" customHeight="true" outlineLevel="0" collapsed="false">
      <c r="A9" s="16" t="s">
        <v>356</v>
      </c>
      <c r="B9" s="38" t="s">
        <v>355</v>
      </c>
    </row>
    <row r="11" customFormat="false" ht="21.75" hidden="false" customHeight="true" outlineLevel="0" collapsed="false">
      <c r="A11" s="4" t="s">
        <v>357</v>
      </c>
      <c r="B11" s="4"/>
    </row>
    <row r="12" customFormat="false" ht="43.5" hidden="false" customHeight="true" outlineLevel="0" collapsed="false">
      <c r="A12" s="29" t="s">
        <v>358</v>
      </c>
      <c r="B12" s="25" t="s">
        <v>359</v>
      </c>
    </row>
    <row r="13" customFormat="false" ht="15" hidden="false" customHeight="true" outlineLevel="0" collapsed="false">
      <c r="B13" s="43" t="s">
        <v>360</v>
      </c>
    </row>
    <row r="14" customFormat="false" ht="26.25" hidden="false" customHeight="true" outlineLevel="0" collapsed="false">
      <c r="B14" s="44" t="s">
        <v>361</v>
      </c>
    </row>
    <row r="16" customFormat="false" ht="43.5" hidden="false" customHeight="true" outlineLevel="0" collapsed="false">
      <c r="A16" s="29" t="s">
        <v>362</v>
      </c>
      <c r="B16" s="25" t="s">
        <v>363</v>
      </c>
    </row>
    <row r="17" customFormat="false" ht="15" hidden="false" customHeight="true" outlineLevel="0" collapsed="false">
      <c r="B17" s="43" t="s">
        <v>364</v>
      </c>
    </row>
    <row r="18" customFormat="false" ht="26.25" hidden="false" customHeight="true" outlineLevel="0" collapsed="false">
      <c r="B18" s="44" t="s">
        <v>365</v>
      </c>
    </row>
    <row r="20" customFormat="false" ht="43.5" hidden="false" customHeight="true" outlineLevel="0" collapsed="false">
      <c r="A20" s="29" t="s">
        <v>366</v>
      </c>
      <c r="B20" s="25" t="s">
        <v>367</v>
      </c>
    </row>
    <row r="21" customFormat="false" ht="26.25" hidden="false" customHeight="true" outlineLevel="0" collapsed="false">
      <c r="B21" s="43" t="s">
        <v>368</v>
      </c>
    </row>
    <row r="22" customFormat="false" ht="26.25" hidden="false" customHeight="true" outlineLevel="0" collapsed="false">
      <c r="B22" s="44" t="s">
        <v>369</v>
      </c>
    </row>
    <row r="24" customFormat="false" ht="43.5" hidden="false" customHeight="true" outlineLevel="0" collapsed="false">
      <c r="A24" s="29" t="s">
        <v>370</v>
      </c>
      <c r="B24" s="25" t="s">
        <v>371</v>
      </c>
    </row>
    <row r="25" customFormat="false" ht="26.25" hidden="false" customHeight="true" outlineLevel="0" collapsed="false">
      <c r="B25" s="43" t="s">
        <v>372</v>
      </c>
    </row>
    <row r="26" customFormat="false" ht="26.25" hidden="false" customHeight="true" outlineLevel="0" collapsed="false">
      <c r="B26" s="44" t="s">
        <v>373</v>
      </c>
    </row>
    <row r="28" customFormat="false" ht="43.5" hidden="false" customHeight="true" outlineLevel="0" collapsed="false">
      <c r="A28" s="29" t="s">
        <v>374</v>
      </c>
      <c r="B28" s="38" t="s">
        <v>375</v>
      </c>
    </row>
    <row r="29" customFormat="false" ht="15" hidden="false" customHeight="true" outlineLevel="0" collapsed="false">
      <c r="B29" s="43" t="s">
        <v>376</v>
      </c>
    </row>
    <row r="30" customFormat="false" ht="26.25" hidden="false" customHeight="true" outlineLevel="0" collapsed="false">
      <c r="B30" s="44" t="s">
        <v>377</v>
      </c>
    </row>
    <row r="32" customFormat="false" ht="21.75" hidden="false" customHeight="true" outlineLevel="0" collapsed="false">
      <c r="A32" s="4" t="s">
        <v>378</v>
      </c>
      <c r="B32" s="4"/>
    </row>
    <row r="33" customFormat="false" ht="15" hidden="false" customHeight="true" outlineLevel="0" collapsed="false">
      <c r="A33" s="19" t="s">
        <v>379</v>
      </c>
      <c r="B33" s="19"/>
    </row>
    <row r="34" customFormat="false" ht="19.5" hidden="false" customHeight="true" outlineLevel="0" collapsed="false">
      <c r="A34" s="7" t="s">
        <v>380</v>
      </c>
      <c r="B34" s="7" t="s">
        <v>381</v>
      </c>
    </row>
    <row r="35" customFormat="false" ht="15" hidden="false" customHeight="true" outlineLevel="0" collapsed="false">
      <c r="A35" s="38" t="s">
        <v>355</v>
      </c>
      <c r="B35" s="25" t="s">
        <v>382</v>
      </c>
    </row>
    <row r="36" customFormat="false" ht="15" hidden="false" customHeight="true" outlineLevel="0" collapsed="false">
      <c r="A36" s="38" t="s">
        <v>355</v>
      </c>
      <c r="B36" s="25" t="s">
        <v>383</v>
      </c>
    </row>
    <row r="37" customFormat="false" ht="15" hidden="false" customHeight="true" outlineLevel="0" collapsed="false">
      <c r="A37" s="38"/>
      <c r="B37" s="38"/>
    </row>
    <row r="38" customFormat="false" ht="15" hidden="false" customHeight="true" outlineLevel="0" collapsed="false">
      <c r="A38" s="38"/>
      <c r="B38" s="38"/>
    </row>
    <row r="39" customFormat="false" ht="15" hidden="false" customHeight="true" outlineLevel="0" collapsed="false">
      <c r="A39" s="38"/>
      <c r="B39" s="38"/>
    </row>
    <row r="40" customFormat="false" ht="15" hidden="false" customHeight="true" outlineLevel="0" collapsed="false">
      <c r="A40" s="38"/>
      <c r="B40" s="38"/>
    </row>
  </sheetData>
  <mergeCells count="6">
    <mergeCell ref="A1:B1"/>
    <mergeCell ref="A2:B2"/>
    <mergeCell ref="A4:B4"/>
    <mergeCell ref="A11:B11"/>
    <mergeCell ref="A32:B32"/>
    <mergeCell ref="A33:B3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90"/>
  </cols>
  <sheetData>
    <row r="1" customFormat="false" ht="25.5" hidden="false" customHeight="true" outlineLevel="0" collapsed="false">
      <c r="A1" s="45" t="s">
        <v>384</v>
      </c>
      <c r="B1" s="45"/>
    </row>
    <row r="2" customFormat="false" ht="15" hidden="false" customHeight="false" outlineLevel="0" collapsed="false">
      <c r="A2" s="46" t="s">
        <v>385</v>
      </c>
      <c r="B2" s="46" t="s">
        <v>7</v>
      </c>
    </row>
    <row r="3" customFormat="false" ht="60" hidden="false" customHeight="true" outlineLevel="0" collapsed="false">
      <c r="A3" s="47" t="s">
        <v>386</v>
      </c>
      <c r="B3" s="48" t="s">
        <v>387</v>
      </c>
    </row>
    <row r="4" customFormat="false" ht="60" hidden="false" customHeight="true" outlineLevel="0" collapsed="false">
      <c r="A4" s="47" t="s">
        <v>388</v>
      </c>
      <c r="B4" s="48" t="s">
        <v>389</v>
      </c>
    </row>
    <row r="5" customFormat="false" ht="60" hidden="false" customHeight="true" outlineLevel="0" collapsed="false">
      <c r="A5" s="47" t="s">
        <v>390</v>
      </c>
      <c r="B5" s="49" t="s">
        <v>391</v>
      </c>
    </row>
    <row r="6" customFormat="false" ht="60" hidden="false" customHeight="true" outlineLevel="0" collapsed="false">
      <c r="A6" s="47" t="s">
        <v>392</v>
      </c>
      <c r="B6" s="48" t="s">
        <v>393</v>
      </c>
    </row>
    <row r="7" customFormat="false" ht="60" hidden="false" customHeight="true" outlineLevel="0" collapsed="false">
      <c r="A7" s="47" t="s">
        <v>394</v>
      </c>
      <c r="B7" s="48" t="s">
        <v>395</v>
      </c>
    </row>
    <row r="8" customFormat="false" ht="60" hidden="false" customHeight="true" outlineLevel="0" collapsed="false">
      <c r="A8" s="47" t="s">
        <v>396</v>
      </c>
      <c r="B8" s="48" t="s">
        <v>397</v>
      </c>
    </row>
    <row r="9" customFormat="false" ht="60" hidden="false" customHeight="true" outlineLevel="0" collapsed="false">
      <c r="A9" s="47" t="s">
        <v>398</v>
      </c>
      <c r="B9" s="48" t="s">
        <v>399</v>
      </c>
    </row>
    <row r="10" customFormat="false" ht="60" hidden="false" customHeight="true" outlineLevel="0" collapsed="false">
      <c r="A10" s="47" t="s">
        <v>400</v>
      </c>
      <c r="B10" s="48" t="s">
        <v>401</v>
      </c>
    </row>
    <row r="11" customFormat="false" ht="60" hidden="false" customHeight="true" outlineLevel="0" collapsed="false">
      <c r="A11" s="47" t="s">
        <v>402</v>
      </c>
      <c r="B11" s="48" t="s">
        <v>403</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D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26"/>
    <col collapsed="false" customWidth="true" hidden="false" outlineLevel="0" max="3" min="3" style="1" width="70"/>
    <col collapsed="false" customWidth="true" hidden="false" outlineLevel="0" max="4" min="4" style="1" width="16"/>
  </cols>
  <sheetData>
    <row r="1" customFormat="false" ht="30" hidden="false" customHeight="true" outlineLevel="0" collapsed="false">
      <c r="A1" s="2" t="s">
        <v>404</v>
      </c>
      <c r="B1" s="2"/>
      <c r="C1" s="2"/>
      <c r="D1" s="2"/>
    </row>
    <row r="2" customFormat="false" ht="18" hidden="false" customHeight="true" outlineLevel="0" collapsed="false">
      <c r="A2" s="3" t="s">
        <v>405</v>
      </c>
      <c r="B2" s="3"/>
      <c r="C2" s="3"/>
      <c r="D2" s="3"/>
    </row>
    <row r="4" customFormat="false" ht="21.75" hidden="false" customHeight="true" outlineLevel="0" collapsed="false">
      <c r="A4" s="4" t="s">
        <v>406</v>
      </c>
      <c r="B4" s="4"/>
      <c r="C4" s="4"/>
      <c r="D4" s="4"/>
    </row>
    <row r="5" customFormat="false" ht="15" hidden="false" customHeight="true" outlineLevel="0" collapsed="false">
      <c r="A5" s="19" t="s">
        <v>407</v>
      </c>
      <c r="B5" s="19"/>
      <c r="C5" s="19"/>
      <c r="D5" s="19"/>
    </row>
    <row r="6" customFormat="false" ht="19.5" hidden="false" customHeight="true" outlineLevel="0" collapsed="false">
      <c r="A6" s="6" t="s">
        <v>5</v>
      </c>
      <c r="B6" s="7" t="s">
        <v>408</v>
      </c>
      <c r="C6" s="7" t="s">
        <v>409</v>
      </c>
      <c r="D6" s="7" t="s">
        <v>410</v>
      </c>
    </row>
    <row r="7" customFormat="false" ht="103.5" hidden="false" customHeight="true" outlineLevel="0" collapsed="false">
      <c r="A7" s="40" t="s">
        <v>9</v>
      </c>
      <c r="B7" s="16" t="s">
        <v>411</v>
      </c>
      <c r="C7" s="50" t="s">
        <v>412</v>
      </c>
      <c r="D7" s="51" t="s">
        <v>413</v>
      </c>
    </row>
    <row r="8" customFormat="false" ht="103.5" hidden="false" customHeight="true" outlineLevel="0" collapsed="false">
      <c r="A8" s="40" t="s">
        <v>13</v>
      </c>
      <c r="B8" s="16" t="s">
        <v>414</v>
      </c>
      <c r="C8" s="50" t="s">
        <v>415</v>
      </c>
      <c r="D8" s="40" t="s">
        <v>416</v>
      </c>
    </row>
    <row r="9" customFormat="false" ht="61.5" hidden="false" customHeight="true" outlineLevel="0" collapsed="false">
      <c r="A9" s="40" t="s">
        <v>17</v>
      </c>
      <c r="B9" s="16" t="s">
        <v>417</v>
      </c>
      <c r="C9" s="50" t="s">
        <v>418</v>
      </c>
      <c r="D9" s="40" t="s">
        <v>416</v>
      </c>
    </row>
    <row r="10" customFormat="false" ht="75.75" hidden="false" customHeight="true" outlineLevel="0" collapsed="false">
      <c r="A10" s="40" t="s">
        <v>21</v>
      </c>
      <c r="B10" s="16" t="s">
        <v>419</v>
      </c>
      <c r="C10" s="50" t="s">
        <v>420</v>
      </c>
      <c r="D10" s="51" t="s">
        <v>421</v>
      </c>
    </row>
    <row r="11" customFormat="false" ht="117.75" hidden="false" customHeight="true" outlineLevel="0" collapsed="false">
      <c r="A11" s="40" t="s">
        <v>25</v>
      </c>
      <c r="B11" s="16" t="s">
        <v>422</v>
      </c>
      <c r="C11" s="50" t="s">
        <v>423</v>
      </c>
      <c r="D11" s="51" t="s">
        <v>424</v>
      </c>
    </row>
    <row r="12" customFormat="false" ht="132" hidden="false" customHeight="true" outlineLevel="0" collapsed="false">
      <c r="A12" s="40" t="s">
        <v>28</v>
      </c>
      <c r="B12" s="16" t="s">
        <v>425</v>
      </c>
      <c r="C12" s="50" t="s">
        <v>426</v>
      </c>
      <c r="D12" s="51" t="s">
        <v>424</v>
      </c>
    </row>
    <row r="13" customFormat="false" ht="103.5" hidden="false" customHeight="true" outlineLevel="0" collapsed="false">
      <c r="A13" s="40" t="s">
        <v>32</v>
      </c>
      <c r="B13" s="16" t="s">
        <v>427</v>
      </c>
      <c r="C13" s="50" t="s">
        <v>428</v>
      </c>
      <c r="D13" s="51" t="s">
        <v>429</v>
      </c>
    </row>
    <row r="14" customFormat="false" ht="145.5" hidden="false" customHeight="true" outlineLevel="0" collapsed="false">
      <c r="A14" s="40" t="s">
        <v>320</v>
      </c>
      <c r="B14" s="16" t="s">
        <v>430</v>
      </c>
      <c r="C14" s="50" t="s">
        <v>431</v>
      </c>
      <c r="D14" s="51" t="s">
        <v>429</v>
      </c>
    </row>
    <row r="15" customFormat="false" ht="145.5" hidden="false" customHeight="true" outlineLevel="0" collapsed="false">
      <c r="A15" s="40" t="s">
        <v>322</v>
      </c>
      <c r="B15" s="16" t="s">
        <v>432</v>
      </c>
      <c r="C15" s="50" t="s">
        <v>433</v>
      </c>
      <c r="D15" s="51" t="s">
        <v>29</v>
      </c>
    </row>
    <row r="17" customFormat="false" ht="21.75" hidden="false" customHeight="true" outlineLevel="0" collapsed="false">
      <c r="A17" s="26" t="s">
        <v>434</v>
      </c>
      <c r="B17" s="26"/>
      <c r="C17" s="26"/>
      <c r="D17" s="26"/>
    </row>
    <row r="18" customFormat="false" ht="19.5" hidden="false" customHeight="true" outlineLevel="0" collapsed="false">
      <c r="A18" s="7" t="s">
        <v>161</v>
      </c>
      <c r="B18" s="7" t="s">
        <v>67</v>
      </c>
      <c r="C18" s="7"/>
      <c r="D18" s="7"/>
    </row>
    <row r="19" customFormat="false" ht="29.25" hidden="false" customHeight="true" outlineLevel="0" collapsed="false">
      <c r="A19" s="29" t="s">
        <v>163</v>
      </c>
      <c r="B19" s="18" t="s">
        <v>164</v>
      </c>
      <c r="C19" s="18"/>
      <c r="D19" s="18"/>
    </row>
    <row r="20" customFormat="false" ht="57.75" hidden="false" customHeight="true" outlineLevel="0" collapsed="false">
      <c r="A20" s="16" t="s">
        <v>165</v>
      </c>
      <c r="B20" s="31" t="s">
        <v>166</v>
      </c>
      <c r="C20" s="31"/>
      <c r="D20" s="31"/>
    </row>
    <row r="21" customFormat="false" ht="57.75" hidden="false" customHeight="true" outlineLevel="0" collapsed="false">
      <c r="A21" s="16" t="s">
        <v>167</v>
      </c>
      <c r="B21" s="18" t="s">
        <v>168</v>
      </c>
      <c r="C21" s="18"/>
      <c r="D21" s="18"/>
    </row>
    <row r="22" customFormat="false" ht="57.75" hidden="false" customHeight="true" outlineLevel="0" collapsed="false">
      <c r="A22" s="29" t="s">
        <v>169</v>
      </c>
      <c r="B22" s="31" t="s">
        <v>170</v>
      </c>
      <c r="C22" s="31"/>
      <c r="D22" s="31"/>
    </row>
  </sheetData>
  <mergeCells count="10">
    <mergeCell ref="A1:D1"/>
    <mergeCell ref="A2:D2"/>
    <mergeCell ref="A4:D4"/>
    <mergeCell ref="A5:D5"/>
    <mergeCell ref="A17:D17"/>
    <mergeCell ref="B18:D18"/>
    <mergeCell ref="B19:D19"/>
    <mergeCell ref="B20:D20"/>
    <mergeCell ref="B21:D21"/>
    <mergeCell ref="B22:D2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2026-08-25T09:02:26Z</dcterms:created>
  <dc:creator>openpyxl</dc:creator>
  <dc:description/>
  <dc:language>en-US</dc:language>
  <cp:lastModifiedBy/>
  <dcterms:modified xsi:type="dcterms:W3CDTF">2026-08-27T06:52:29Z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