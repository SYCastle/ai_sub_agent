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プロジェクト概要" sheetId="2" state="visible" r:id="rId4"/>
    <sheet name="②3大制約条件バランス" sheetId="3" state="visible" r:id="rId5"/>
    <sheet name="③ステークホルダー登録簿" sheetId="4" state="visible" r:id="rId6"/>
    <sheet name="④チーム協働環境" sheetId="5" state="visible" r:id="rId7"/>
    <sheet name="⑤WBS・タスク管理" sheetId="6" state="visible" r:id="rId8"/>
    <sheet name="⑥品質管理" sheetId="7" state="visible" r:id="rId9"/>
    <sheet name="⑦リスク・複雑さ管理" sheetId="8" state="visible" r:id="rId10"/>
    <sheet name="⑧変更管理ログ" sheetId="9" state="visible" r:id="rId11"/>
    <sheet name="⑨情報の流れ（報告設計）" sheetId="10" state="visible" r:id="rId12"/>
    <sheet name="⑩12の原理原則セルフチェック" sheetId="11" state="visible" r:id="rId13"/>
    <sheet name="⑪組織のプロセス資産" sheetId="12" state="visible" r:id="rId14"/>
    <sheet name="⑫ステークホルダーエンゲージメント分析" sheetId="13" state="visible" r:id="rId15"/>
    <sheet name="⑬チームパフォーマンス管理" sheetId="14" state="visible" r:id="rId16"/>
    <sheet name="⑭開発アプローチ選定" sheetId="15" state="visible" r:id="rId17"/>
    <sheet name="⑮見積り・予備費管理" sheetId="16" state="visible" r:id="rId18"/>
    <sheet name="⑯プロジェクト作業・調達管理" sheetId="17" state="visible" r:id="rId19"/>
    <sheet name="⑰品質コスト管理" sheetId="18" state="visible" r:id="rId20"/>
    <sheet name="⑱測定ダッシュボード" sheetId="19" state="visible" r:id="rId21"/>
    <sheet name="⑲不確かさ対応ログ"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<sst xmlns="http://schemas.openxmlformats.org/spreadsheetml/2006/main" count="511" uniqueCount="472">
  <si>
    <t xml:space="preserve">プロジェクトマネジメント用テンプレート</t>
  </si>
  <si>
    <r>
      <rPr>
        <i val="true"/>
        <sz val="11"/>
        <color rgb="FF555555"/>
        <rFont val="Arial"/>
        <family val="0"/>
        <charset val="1"/>
      </rPr>
      <t xml:space="preserve">PMBOK Guide</t>
    </r>
    <r>
      <rPr>
        <i val="true"/>
        <sz val="11"/>
        <color rgb="FF555555"/>
        <rFont val="Noto Sans CJK SC"/>
        <family val="2"/>
      </rPr>
      <t xml:space="preserve">（第</t>
    </r>
    <r>
      <rPr>
        <i val="true"/>
        <sz val="11"/>
        <color rgb="FF555555"/>
        <rFont val="Arial"/>
        <family val="0"/>
        <charset val="1"/>
      </rPr>
      <t xml:space="preserve">1</t>
    </r>
    <r>
      <rPr>
        <i val="true"/>
        <sz val="11"/>
        <color rgb="FF555555"/>
        <rFont val="Noto Sans CJK SC"/>
        <family val="2"/>
      </rPr>
      <t xml:space="preserve">〜</t>
    </r>
    <r>
      <rPr>
        <i val="true"/>
        <sz val="11"/>
        <color rgb="FF555555"/>
        <rFont val="Arial"/>
        <family val="0"/>
        <charset val="1"/>
      </rPr>
      <t xml:space="preserve">4</t>
    </r>
    <r>
      <rPr>
        <i val="true"/>
        <sz val="11"/>
        <color rgb="FF555555"/>
        <rFont val="Noto Sans CJK SC"/>
        <family val="2"/>
      </rPr>
      <t xml:space="preserve">章：</t>
    </r>
    <r>
      <rPr>
        <i val="true"/>
        <sz val="11"/>
        <color rgb="FF555555"/>
        <rFont val="Arial"/>
        <family val="0"/>
        <charset val="1"/>
      </rPr>
      <t xml:space="preserve">8</t>
    </r>
    <r>
      <rPr>
        <i val="true"/>
        <sz val="11"/>
        <color rgb="FF555555"/>
        <rFont val="Noto Sans CJK SC"/>
        <family val="2"/>
      </rPr>
      <t xml:space="preserve">つのパフォーマンス領域を含む）の考え方をベースにした実務テンプレート集</t>
    </r>
  </si>
  <si>
    <t xml:space="preserve">■ このテンプレートの使い方</t>
  </si>
  <si>
    <t xml:space="preserve">黄色セル</t>
  </si>
  <si>
    <t xml:space="preserve">ユーザーが入力する項目です。プロジェクトの状況に合わせて書き換えてください。</t>
  </si>
  <si>
    <t xml:space="preserve">白セル（数式）</t>
  </si>
  <si>
    <t xml:space="preserve">自動計算される項目です。基本的に編集不要です。</t>
  </si>
  <si>
    <t xml:space="preserve">進め方</t>
  </si>
  <si>
    <t xml:space="preserve">① プロジェクト概要 → ② 3大制約条件 → ③ ステークホルダー登録簿 → ④ チーム協働環境 → ⑤ WBS・タスク管理 → ⑥ 品質管理 → ⑦ リスク・複雑さ管理 → ⑧ 変更管理ログ → ⑨ 情報の流れ（報告設計） → ⑩ 12の原理原則セルフチェック → ⑪ 組織のプロセス資産 の順に埋めると、PMBOKの考え方に沿って抜け漏れなく計画できます。</t>
  </si>
  <si>
    <t xml:space="preserve">■ シート構成</t>
  </si>
  <si>
    <t xml:space="preserve">① プロジェクト概要</t>
  </si>
  <si>
    <t xml:space="preserve">プロジェクトの基本情報（3大制約条件：QCD含む）を定義する憲章シート</t>
  </si>
  <si>
    <r>
      <rPr>
        <b val="true"/>
        <sz val="10"/>
        <rFont val="Arial"/>
        <family val="0"/>
        <charset val="1"/>
      </rPr>
      <t xml:space="preserve">② 3</t>
    </r>
    <r>
      <rPr>
        <b val="true"/>
        <sz val="10"/>
        <rFont val="Noto Sans CJK SC"/>
        <family val="2"/>
      </rPr>
      <t xml:space="preserve">大制約条件バランス</t>
    </r>
  </si>
  <si>
    <t xml:space="preserve">スケジュール・スコープ・コストの目標値と優先順位を明確にする</t>
  </si>
  <si>
    <t xml:space="preserve">③ ステークホルダー登録簿</t>
  </si>
  <si>
    <t xml:space="preserve">ステークホルダーの種類・関与度・エンゲージメント方法を管理する</t>
  </si>
  <si>
    <t xml:space="preserve">④ チーム協働環境</t>
  </si>
  <si>
    <t xml:space="preserve">チームの合意・組織構造・プロセスの3要素を定義する</t>
  </si>
  <si>
    <r>
      <rPr>
        <b val="true"/>
        <sz val="10"/>
        <rFont val="Arial"/>
        <family val="0"/>
        <charset val="1"/>
      </rPr>
      <t xml:space="preserve">⑤ WBS</t>
    </r>
    <r>
      <rPr>
        <b val="true"/>
        <sz val="10"/>
        <rFont val="Noto Sans CJK SC"/>
        <family val="2"/>
      </rPr>
      <t xml:space="preserve">・タスク管理</t>
    </r>
  </si>
  <si>
    <t xml:space="preserve">作業分解構成図（WBS）ベースのタスク進捗管理</t>
  </si>
  <si>
    <t xml:space="preserve">⑥ 品質管理</t>
  </si>
  <si>
    <t xml:space="preserve">成果物品質とプロジェクト品質のチェックリスト</t>
  </si>
  <si>
    <t xml:space="preserve">⑦ リスク・複雑さ管理</t>
  </si>
  <si>
    <t xml:space="preserve">複雑さ要因の評価とリスク登録簿</t>
  </si>
  <si>
    <t xml:space="preserve">⑧ 変更管理ログ</t>
  </si>
  <si>
    <t xml:space="preserve">チェンジマネジメント4ステップと変更履歴</t>
  </si>
  <si>
    <t xml:space="preserve">⑨ 情報の流れ（報告設計）</t>
  </si>
  <si>
    <t xml:space="preserve">上級管理職〜定常業務までの報告ルートと頻度の設計</t>
  </si>
  <si>
    <r>
      <rPr>
        <b val="true"/>
        <sz val="10"/>
        <rFont val="Arial"/>
        <family val="0"/>
        <charset val="1"/>
      </rPr>
      <t xml:space="preserve">⑩ 12</t>
    </r>
    <r>
      <rPr>
        <b val="true"/>
        <sz val="10"/>
        <rFont val="Noto Sans CJK SC"/>
        <family val="2"/>
      </rPr>
      <t xml:space="preserve">の原理原則セルフチェック</t>
    </r>
  </si>
  <si>
    <r>
      <rPr>
        <sz val="10"/>
        <rFont val="Arial"/>
        <family val="0"/>
        <charset val="1"/>
      </rPr>
      <t xml:space="preserve">PMBOK</t>
    </r>
    <r>
      <rPr>
        <sz val="10"/>
        <rFont val="Noto Sans CJK SC"/>
        <family val="2"/>
      </rPr>
      <t xml:space="preserve">の</t>
    </r>
    <r>
      <rPr>
        <sz val="10"/>
        <rFont val="Arial"/>
        <family val="0"/>
        <charset val="1"/>
      </rPr>
      <t xml:space="preserve">12</t>
    </r>
    <r>
      <rPr>
        <sz val="10"/>
        <rFont val="Noto Sans CJK SC"/>
        <family val="2"/>
      </rPr>
      <t xml:space="preserve">の原理・原則に対する実践度の自己評価</t>
    </r>
  </si>
  <si>
    <t xml:space="preserve">⑪ 組織のプロセス資産</t>
  </si>
  <si>
    <t xml:space="preserve">活用できる社内テンプレート・過去実績などの棚卸し</t>
  </si>
  <si>
    <r>
      <rPr>
        <b val="true"/>
        <sz val="10"/>
        <rFont val="Noto Sans CJK SC"/>
        <family val="2"/>
      </rPr>
      <t xml:space="preserve">■ シート構成（</t>
    </r>
    <r>
      <rPr>
        <b val="true"/>
        <sz val="10"/>
        <rFont val="Arial"/>
        <family val="0"/>
        <charset val="1"/>
      </rPr>
      <t xml:space="preserve">4</t>
    </r>
    <r>
      <rPr>
        <b val="true"/>
        <sz val="10"/>
        <rFont val="Noto Sans CJK SC"/>
        <family val="2"/>
      </rPr>
      <t xml:space="preserve">章：</t>
    </r>
    <r>
      <rPr>
        <b val="true"/>
        <sz val="10"/>
        <rFont val="Arial"/>
        <family val="0"/>
        <charset val="1"/>
      </rPr>
      <t xml:space="preserve">8</t>
    </r>
    <r>
      <rPr>
        <b val="true"/>
        <sz val="10"/>
        <rFont val="Noto Sans CJK SC"/>
        <family val="2"/>
      </rPr>
      <t xml:space="preserve">つのパフォーマンス領域 追加分）</t>
    </r>
  </si>
  <si>
    <t xml:space="preserve">⑫ ステークホルダーエンゲージメント分析</t>
  </si>
  <si>
    <r>
      <rPr>
        <sz val="10"/>
        <rFont val="Noto Sans CJK SC"/>
        <family val="2"/>
      </rPr>
      <t xml:space="preserve">セイリエンスモデル・権力関心度グリッド・関与度評価マトリックス（現在</t>
    </r>
    <r>
      <rPr>
        <sz val="10"/>
        <rFont val="Arial"/>
        <family val="0"/>
        <charset val="1"/>
      </rPr>
      <t xml:space="preserve">C/</t>
    </r>
    <r>
      <rPr>
        <sz val="10"/>
        <rFont val="Noto Sans CJK SC"/>
        <family val="2"/>
      </rPr>
      <t xml:space="preserve">望まれる</t>
    </r>
    <r>
      <rPr>
        <sz val="10"/>
        <rFont val="Arial"/>
        <family val="0"/>
        <charset val="1"/>
      </rPr>
      <t xml:space="preserve">D</t>
    </r>
    <r>
      <rPr>
        <sz val="10"/>
        <rFont val="Noto Sans CJK SC"/>
        <family val="2"/>
      </rPr>
      <t xml:space="preserve">）を統合したステークホルダー分析シート</t>
    </r>
  </si>
  <si>
    <t xml:space="preserve">⑬ チームパフォーマンス管理</t>
  </si>
  <si>
    <r>
      <rPr>
        <sz val="10"/>
        <rFont val="Noto Sans CJK SC"/>
        <family val="2"/>
      </rPr>
      <t xml:space="preserve">パフォーマンスの高いチームの要素セルフチェック、動機付け（外発的</t>
    </r>
    <r>
      <rPr>
        <sz val="10"/>
        <rFont val="Arial"/>
        <family val="0"/>
        <charset val="1"/>
      </rPr>
      <t xml:space="preserve">/</t>
    </r>
    <r>
      <rPr>
        <sz val="10"/>
        <rFont val="Noto Sans CJK SC"/>
        <family val="2"/>
      </rPr>
      <t xml:space="preserve">内発的）、コンフリクトログ（</t>
    </r>
    <r>
      <rPr>
        <sz val="10"/>
        <rFont val="Arial"/>
        <family val="0"/>
        <charset val="1"/>
      </rPr>
      <t xml:space="preserve">5</t>
    </r>
    <r>
      <rPr>
        <sz val="10"/>
        <rFont val="Noto Sans CJK SC"/>
        <family val="2"/>
      </rPr>
      <t xml:space="preserve">つのアプローチ）</t>
    </r>
  </si>
  <si>
    <t xml:space="preserve">⑭ 開発アプローチ選定</t>
  </si>
  <si>
    <r>
      <rPr>
        <sz val="10"/>
        <rFont val="Arial"/>
        <family val="0"/>
        <charset val="1"/>
      </rPr>
      <t xml:space="preserve">3</t>
    </r>
    <r>
      <rPr>
        <sz val="10"/>
        <rFont val="Noto Sans CJK SC"/>
        <family val="2"/>
      </rPr>
      <t xml:space="preserve">カテゴリー（プロジェクト</t>
    </r>
    <r>
      <rPr>
        <sz val="10"/>
        <rFont val="Arial"/>
        <family val="0"/>
        <charset val="1"/>
      </rPr>
      <t xml:space="preserve">/</t>
    </r>
    <r>
      <rPr>
        <sz val="10"/>
        <rFont val="Noto Sans CJK SC"/>
        <family val="2"/>
      </rPr>
      <t xml:space="preserve">成果物</t>
    </r>
    <r>
      <rPr>
        <sz val="10"/>
        <rFont val="Arial"/>
        <family val="0"/>
        <charset val="1"/>
      </rPr>
      <t xml:space="preserve">/</t>
    </r>
    <r>
      <rPr>
        <sz val="10"/>
        <rFont val="Noto Sans CJK SC"/>
        <family val="2"/>
      </rPr>
      <t xml:space="preserve">組織）の要因評価から、予測型・適応型・ハイブリッド型を自動判定</t>
    </r>
  </si>
  <si>
    <t xml:space="preserve">⑮ 見積り・予備費管理</t>
  </si>
  <si>
    <t xml:space="preserve">見積り手法の選択、コンティンジェンシー予備／マネジメント予備の管理（コストベースライン・総予算を自動計算）</t>
  </si>
  <si>
    <t xml:space="preserve">⑯ プロジェクト作業・調達管理</t>
  </si>
  <si>
    <t xml:space="preserve">プロセス改善ログ（リーン生産方式・レトロスペクティブ）、調達プロセスの進捗管理</t>
  </si>
  <si>
    <t xml:space="preserve">⑰ 品質コスト管理</t>
  </si>
  <si>
    <r>
      <rPr>
        <sz val="10"/>
        <rFont val="Noto Sans CJK SC"/>
        <family val="2"/>
      </rPr>
      <t xml:space="preserve">品質コスト（適合コスト：予防</t>
    </r>
    <r>
      <rPr>
        <sz val="10"/>
        <rFont val="Arial"/>
        <family val="0"/>
        <charset val="1"/>
      </rPr>
      <t xml:space="preserve">/</t>
    </r>
    <r>
      <rPr>
        <sz val="10"/>
        <rFont val="Noto Sans CJK SC"/>
        <family val="2"/>
      </rPr>
      <t xml:space="preserve">評価、不適合コスト：内部不良</t>
    </r>
    <r>
      <rPr>
        <sz val="10"/>
        <rFont val="Arial"/>
        <family val="0"/>
        <charset val="1"/>
      </rPr>
      <t xml:space="preserve">/</t>
    </r>
    <r>
      <rPr>
        <sz val="10"/>
        <rFont val="Noto Sans CJK SC"/>
        <family val="2"/>
      </rPr>
      <t xml:space="preserve">外部不良）の集計と比率分析</t>
    </r>
  </si>
  <si>
    <t xml:space="preserve">⑱ 測定ダッシュボード</t>
  </si>
  <si>
    <r>
      <rPr>
        <sz val="10"/>
        <rFont val="Arial"/>
        <family val="0"/>
        <charset val="1"/>
      </rPr>
      <t xml:space="preserve">KPI</t>
    </r>
    <r>
      <rPr>
        <sz val="10"/>
        <rFont val="Noto Sans CJK SC"/>
        <family val="2"/>
      </rPr>
      <t xml:space="preserve">一覧（先行指標</t>
    </r>
    <r>
      <rPr>
        <sz val="10"/>
        <rFont val="Arial"/>
        <family val="0"/>
        <charset val="1"/>
      </rPr>
      <t xml:space="preserve">/</t>
    </r>
    <r>
      <rPr>
        <sz val="10"/>
        <rFont val="Noto Sans CJK SC"/>
        <family val="2"/>
      </rPr>
      <t xml:space="preserve">遅行指標）、</t>
    </r>
    <r>
      <rPr>
        <sz val="10"/>
        <rFont val="Arial"/>
        <family val="0"/>
        <charset val="1"/>
      </rPr>
      <t xml:space="preserve">SMART</t>
    </r>
    <r>
      <rPr>
        <sz val="10"/>
        <rFont val="Noto Sans CJK SC"/>
        <family val="2"/>
      </rPr>
      <t xml:space="preserve">基準チェック、事業価値の尺度（</t>
    </r>
    <r>
      <rPr>
        <sz val="10"/>
        <rFont val="Arial"/>
        <family val="0"/>
        <charset val="1"/>
      </rPr>
      <t xml:space="preserve">BCR</t>
    </r>
    <r>
      <rPr>
        <sz val="10"/>
        <rFont val="Noto Sans CJK SC"/>
        <family val="2"/>
      </rPr>
      <t xml:space="preserve">・</t>
    </r>
    <r>
      <rPr>
        <sz val="10"/>
        <rFont val="Arial"/>
        <family val="0"/>
        <charset val="1"/>
      </rPr>
      <t xml:space="preserve">ROI</t>
    </r>
    <r>
      <rPr>
        <sz val="10"/>
        <rFont val="Noto Sans CJK SC"/>
        <family val="2"/>
      </rPr>
      <t xml:space="preserve">・</t>
    </r>
    <r>
      <rPr>
        <sz val="10"/>
        <rFont val="Arial"/>
        <family val="0"/>
        <charset val="1"/>
      </rPr>
      <t xml:space="preserve">NPV</t>
    </r>
    <r>
      <rPr>
        <sz val="10"/>
        <rFont val="Noto Sans CJK SC"/>
        <family val="2"/>
      </rPr>
      <t xml:space="preserve">）の自動計算</t>
    </r>
  </si>
  <si>
    <t xml:space="preserve">⑲ 不確かさ対応ログ</t>
  </si>
  <si>
    <r>
      <rPr>
        <sz val="10"/>
        <rFont val="Noto Sans CJK SC"/>
        <family val="2"/>
      </rPr>
      <t xml:space="preserve">不確かさ・曖昧さ（概念的</t>
    </r>
    <r>
      <rPr>
        <sz val="10"/>
        <rFont val="Arial"/>
        <family val="0"/>
        <charset val="1"/>
      </rPr>
      <t xml:space="preserve">/</t>
    </r>
    <r>
      <rPr>
        <sz val="10"/>
        <rFont val="Noto Sans CJK SC"/>
        <family val="2"/>
      </rPr>
      <t xml:space="preserve">状況的）・複雑さ（人</t>
    </r>
    <r>
      <rPr>
        <sz val="10"/>
        <rFont val="Arial"/>
        <family val="0"/>
        <charset val="1"/>
      </rPr>
      <t xml:space="preserve">/</t>
    </r>
    <r>
      <rPr>
        <sz val="10"/>
        <rFont val="Noto Sans CJK SC"/>
        <family val="2"/>
      </rPr>
      <t xml:space="preserve">システム</t>
    </r>
    <r>
      <rPr>
        <sz val="10"/>
        <rFont val="Arial"/>
        <family val="0"/>
        <charset val="1"/>
      </rPr>
      <t xml:space="preserve">/</t>
    </r>
    <r>
      <rPr>
        <sz val="10"/>
        <rFont val="Noto Sans CJK SC"/>
        <family val="2"/>
      </rPr>
      <t xml:space="preserve">技術革新）への対応記録</t>
    </r>
  </si>
  <si>
    <t xml:space="preserve">■ 既存シートの拡張</t>
  </si>
  <si>
    <r>
      <rPr>
        <sz val="10"/>
        <rFont val="Noto Sans CJK SC"/>
        <family val="2"/>
      </rPr>
      <t xml:space="preserve">リスク登録簿に「種別（脅威</t>
    </r>
    <r>
      <rPr>
        <sz val="10"/>
        <rFont val="Arial"/>
        <family val="0"/>
        <charset val="1"/>
      </rPr>
      <t xml:space="preserve">/</t>
    </r>
    <r>
      <rPr>
        <sz val="10"/>
        <rFont val="Noto Sans CJK SC"/>
        <family val="2"/>
      </rPr>
      <t xml:space="preserve">好機）」と「対応戦略」列を追加。脅威は回避</t>
    </r>
    <r>
      <rPr>
        <sz val="10"/>
        <rFont val="Arial"/>
        <family val="0"/>
        <charset val="1"/>
      </rPr>
      <t xml:space="preserve">/</t>
    </r>
    <r>
      <rPr>
        <sz val="10"/>
        <rFont val="Noto Sans CJK SC"/>
        <family val="2"/>
      </rPr>
      <t xml:space="preserve">転嫁</t>
    </r>
    <r>
      <rPr>
        <sz val="10"/>
        <rFont val="Arial"/>
        <family val="0"/>
        <charset val="1"/>
      </rPr>
      <t xml:space="preserve">/</t>
    </r>
    <r>
      <rPr>
        <sz val="10"/>
        <rFont val="Noto Sans CJK SC"/>
        <family val="2"/>
      </rPr>
      <t xml:space="preserve">軽減</t>
    </r>
    <r>
      <rPr>
        <sz val="10"/>
        <rFont val="Arial"/>
        <family val="0"/>
        <charset val="1"/>
      </rPr>
      <t xml:space="preserve">/</t>
    </r>
    <r>
      <rPr>
        <sz val="10"/>
        <rFont val="Noto Sans CJK SC"/>
        <family val="2"/>
      </rPr>
      <t xml:space="preserve">受容、好機は活用</t>
    </r>
    <r>
      <rPr>
        <sz val="10"/>
        <rFont val="Arial"/>
        <family val="0"/>
        <charset val="1"/>
      </rPr>
      <t xml:space="preserve">/</t>
    </r>
    <r>
      <rPr>
        <sz val="10"/>
        <rFont val="Noto Sans CJK SC"/>
        <family val="2"/>
      </rPr>
      <t xml:space="preserve">共有</t>
    </r>
    <r>
      <rPr>
        <sz val="10"/>
        <rFont val="Arial"/>
        <family val="0"/>
        <charset val="1"/>
      </rPr>
      <t xml:space="preserve">/</t>
    </r>
    <r>
      <rPr>
        <sz val="10"/>
        <rFont val="Noto Sans CJK SC"/>
        <family val="2"/>
      </rPr>
      <t xml:space="preserve">強化</t>
    </r>
    <r>
      <rPr>
        <sz val="10"/>
        <rFont val="Arial"/>
        <family val="0"/>
        <charset val="1"/>
      </rPr>
      <t xml:space="preserve">/</t>
    </r>
    <r>
      <rPr>
        <sz val="10"/>
        <rFont val="Noto Sans CJK SC"/>
        <family val="2"/>
      </rPr>
      <t xml:space="preserve">受容から選択可能に</t>
    </r>
  </si>
  <si>
    <t xml:space="preserve">プロジェクト概要（プロジェクト憲章）</t>
  </si>
  <si>
    <t xml:space="preserve">プロジェクト名</t>
  </si>
  <si>
    <t xml:space="preserve">プロジェクトマネジャー</t>
  </si>
  <si>
    <t xml:space="preserve">スポンサー / 上級管理職</t>
  </si>
  <si>
    <t xml:space="preserve">開始日</t>
  </si>
  <si>
    <t xml:space="preserve">完了予定日</t>
  </si>
  <si>
    <t xml:space="preserve">目的・提供する価値（原理④価値）</t>
  </si>
  <si>
    <t xml:space="preserve">成果物（スコープ概要）</t>
  </si>
  <si>
    <t xml:space="preserve">成功基準 / 受入基準（原理⑧品質）</t>
  </si>
  <si>
    <r>
      <rPr>
        <b val="true"/>
        <sz val="10"/>
        <color rgb="FFFFFFFF"/>
        <rFont val="Arial"/>
        <family val="0"/>
        <charset val="1"/>
      </rPr>
      <t xml:space="preserve">■ 3</t>
    </r>
    <r>
      <rPr>
        <b val="true"/>
        <sz val="10"/>
        <color rgb="FFFFFFFF"/>
        <rFont val="Noto Sans CJK SC"/>
        <family val="2"/>
      </rPr>
      <t xml:space="preserve">大制約条件（</t>
    </r>
    <r>
      <rPr>
        <b val="true"/>
        <sz val="10"/>
        <color rgb="FFFFFFFF"/>
        <rFont val="Arial"/>
        <family val="0"/>
        <charset val="1"/>
      </rPr>
      <t xml:space="preserve">QCD</t>
    </r>
    <r>
      <rPr>
        <b val="true"/>
        <sz val="10"/>
        <color rgb="FFFFFFFF"/>
        <rFont val="Noto Sans CJK SC"/>
        <family val="2"/>
      </rPr>
      <t xml:space="preserve">）優先順位</t>
    </r>
  </si>
  <si>
    <t xml:space="preserve">※ 開発アプローチによって重視すべき要素は変わります。1（最優先）〜3を割り当ててください。詳細は「②3大制約条件バランス」シートへ。</t>
  </si>
  <si>
    <t xml:space="preserve">制約条件</t>
  </si>
  <si>
    <t xml:space="preserve">優先順位（1〜3）</t>
  </si>
  <si>
    <t xml:space="preserve">備考</t>
  </si>
  <si>
    <t xml:space="preserve">スケジュール（納期）</t>
  </si>
  <si>
    <t xml:space="preserve">スコープ（範囲）</t>
  </si>
  <si>
    <t xml:space="preserve">コスト（予算）</t>
  </si>
  <si>
    <t xml:space="preserve">■ 開発アプローチ</t>
  </si>
  <si>
    <t xml:space="preserve">採用する開発アプローチ（原理⑦テーラリング）</t>
  </si>
  <si>
    <r>
      <rPr>
        <b val="true"/>
        <sz val="16"/>
        <color rgb="FFD6336C"/>
        <rFont val="Arial"/>
        <family val="0"/>
        <charset val="1"/>
      </rPr>
      <t xml:space="preserve">3</t>
    </r>
    <r>
      <rPr>
        <b val="true"/>
        <sz val="16"/>
        <color rgb="FFD6336C"/>
        <rFont val="Noto Sans CJK SC"/>
        <family val="2"/>
      </rPr>
      <t xml:space="preserve">大制約条件（</t>
    </r>
    <r>
      <rPr>
        <b val="true"/>
        <sz val="16"/>
        <color rgb="FFD6336C"/>
        <rFont val="Arial"/>
        <family val="0"/>
        <charset val="1"/>
      </rPr>
      <t xml:space="preserve">QCD</t>
    </r>
    <r>
      <rPr>
        <b val="true"/>
        <sz val="16"/>
        <color rgb="FFD6336C"/>
        <rFont val="Noto Sans CJK SC"/>
        <family val="2"/>
      </rPr>
      <t xml:space="preserve">）バランスシート</t>
    </r>
  </si>
  <si>
    <t xml:space="preserve">納期（スケジュール）・スコープ・コストの3つは互いにトレードオフの関係にあります。目標値と許容範囲を明確にし、優先順位に応じてバランスを取りましょう。</t>
  </si>
  <si>
    <t xml:space="preserve">目標値 / 定義</t>
  </si>
  <si>
    <t xml:space="preserve">許容範囲（上限・下限）</t>
  </si>
  <si>
    <t xml:space="preserve">現状値</t>
  </si>
  <si>
    <t xml:space="preserve">優先順位</t>
  </si>
  <si>
    <t xml:space="preserve">備考・トレードオフ方針</t>
  </si>
  <si>
    <t xml:space="preserve">スケジュール（納期）Delivery</t>
  </si>
  <si>
    <t xml:space="preserve">コスト（予算）Cost</t>
  </si>
  <si>
    <t xml:space="preserve">優先順位は「①プロジェクト概要」シートで入力した値が自動反映されます（1=最優先）。</t>
  </si>
  <si>
    <t xml:space="preserve">ステークホルダー登録簿</t>
  </si>
  <si>
    <r>
      <rPr>
        <i val="true"/>
        <sz val="9"/>
        <color rgb="FF666666"/>
        <rFont val="Arial"/>
        <family val="0"/>
        <charset val="1"/>
      </rPr>
      <t xml:space="preserve">PMBOK Guide</t>
    </r>
    <r>
      <rPr>
        <i val="true"/>
        <sz val="9"/>
        <color rgb="FF666666"/>
        <rFont val="Noto Sans CJK SC"/>
        <family val="2"/>
      </rPr>
      <t xml:space="preserve">の</t>
    </r>
    <r>
      <rPr>
        <i val="true"/>
        <sz val="9"/>
        <color rgb="FF666666"/>
        <rFont val="Arial"/>
        <family val="0"/>
        <charset val="1"/>
      </rPr>
      <t xml:space="preserve">3</t>
    </r>
    <r>
      <rPr>
        <i val="true"/>
        <sz val="9"/>
        <color rgb="FF666666"/>
        <rFont val="Noto Sans CJK SC"/>
        <family val="2"/>
      </rPr>
      <t xml:space="preserve">層構造（中心：</t>
    </r>
    <r>
      <rPr>
        <i val="true"/>
        <sz val="9"/>
        <color rgb="FF666666"/>
        <rFont val="Arial"/>
        <family val="0"/>
        <charset val="1"/>
      </rPr>
      <t xml:space="preserve">PM/</t>
    </r>
    <r>
      <rPr>
        <i val="true"/>
        <sz val="9"/>
        <color rgb="FF666666"/>
        <rFont val="Noto Sans CJK SC"/>
        <family val="2"/>
      </rPr>
      <t xml:space="preserve">チーム、中間：ガバナンス、外側：顧客・規制機関等）を参考に、関与度と最適なエンゲージメント方法を見極めましょう。</t>
    </r>
  </si>
  <si>
    <t xml:space="preserve">層（種類）</t>
  </si>
  <si>
    <t xml:space="preserve">氏名 / 組織名</t>
  </si>
  <si>
    <t xml:space="preserve">役割・関心事</t>
  </si>
  <si>
    <t xml:space="preserve">関与度
(高/中/低)</t>
  </si>
  <si>
    <t xml:space="preserve">関与したい
タイミング</t>
  </si>
  <si>
    <t xml:space="preserve">頻度</t>
  </si>
  <si>
    <t xml:space="preserve">推奨コミュニケーション方法</t>
  </si>
  <si>
    <t xml:space="preserve">エンゲージメント状況・備考</t>
  </si>
  <si>
    <t xml:space="preserve">中心：プロジェクトマネジャー</t>
  </si>
  <si>
    <t xml:space="preserve">中心：プロジェクトマネジメントチーム</t>
  </si>
  <si>
    <t xml:space="preserve">中心：プロジェクトチーム</t>
  </si>
  <si>
    <t xml:space="preserve">中間：ガバナンス体制</t>
  </si>
  <si>
    <t xml:space="preserve">中間：PMO</t>
  </si>
  <si>
    <t xml:space="preserve">中間：運営委員会</t>
  </si>
  <si>
    <t xml:space="preserve">外側：サプライヤー</t>
  </si>
  <si>
    <t xml:space="preserve">外側：顧客</t>
  </si>
  <si>
    <t xml:space="preserve">外側：エンドユーザー</t>
  </si>
  <si>
    <t xml:space="preserve">外側：規制機関</t>
  </si>
  <si>
    <t xml:space="preserve">協働的なチーム環境の3要素</t>
  </si>
  <si>
    <t xml:space="preserve">協働的なプロジェクトチーム環境の構築には「チームの合意」「組織構造」「プロセス」の3要素が必要です。プロジェクト開始時に定義し、状況に応じてアップデートしましょう。</t>
  </si>
  <si>
    <t xml:space="preserve">チームの合意</t>
  </si>
  <si>
    <t xml:space="preserve">参考</t>
  </si>
  <si>
    <t xml:space="preserve">行動の範囲・作業規範などチームのルール
（例：ミーティングのルール、コミュニケーションの取り決め、意思決定の方法 など）</t>
  </si>
  <si>
    <t xml:space="preserve">このプロジェクトでの定義</t>
  </si>
  <si>
    <t xml:space="preserve">組織構造</t>
  </si>
  <si>
    <t xml:space="preserve">プロジェクト進行に合わせて活用する体制
（例：テスト実施・出荷判定を行う組織、エスカレーション先 など）</t>
  </si>
  <si>
    <t xml:space="preserve">プロセス</t>
  </si>
  <si>
    <r>
      <rPr>
        <i val="true"/>
        <sz val="9"/>
        <color rgb="FF666666"/>
        <rFont val="Arial"/>
        <family val="0"/>
        <charset val="1"/>
      </rPr>
      <t xml:space="preserve">WBS</t>
    </r>
    <r>
      <rPr>
        <i val="true"/>
        <sz val="9"/>
        <color rgb="FF666666"/>
        <rFont val="Noto Sans CJK SC"/>
        <family val="2"/>
      </rPr>
      <t xml:space="preserve">やタスクボードなど、誰が・何を・いつまでに行うかの共通認識
（例：</t>
    </r>
    <r>
      <rPr>
        <i val="true"/>
        <sz val="9"/>
        <color rgb="FF666666"/>
        <rFont val="Arial"/>
        <family val="0"/>
        <charset val="1"/>
      </rPr>
      <t xml:space="preserve">WBS</t>
    </r>
    <r>
      <rPr>
        <i val="true"/>
        <sz val="9"/>
        <color rgb="FF666666"/>
        <rFont val="Noto Sans CJK SC"/>
        <family val="2"/>
      </rPr>
      <t xml:space="preserve">の分解粒度、タスク管理ツール、更新頻度 など）</t>
    </r>
  </si>
  <si>
    <r>
      <rPr>
        <b val="true"/>
        <sz val="16"/>
        <color rgb="FFD6336C"/>
        <rFont val="Arial"/>
        <family val="0"/>
        <charset val="1"/>
      </rPr>
      <t xml:space="preserve">WBS</t>
    </r>
    <r>
      <rPr>
        <b val="true"/>
        <sz val="16"/>
        <color rgb="FFD6336C"/>
        <rFont val="Noto Sans CJK SC"/>
        <family val="2"/>
      </rPr>
      <t xml:space="preserve">（作業分解構成図）・タスク管理</t>
    </r>
  </si>
  <si>
    <t xml:space="preserve">誰が・何を・いつまでに行うかを明確にし、プロセスの共通認識として管理しましょう。ステータスは進捗率と連動して自動集計されます。</t>
  </si>
  <si>
    <t xml:space="preserve">タスクID</t>
  </si>
  <si>
    <t xml:space="preserve">タスク名（WBS要素）</t>
  </si>
  <si>
    <t xml:space="preserve">担当者</t>
  </si>
  <si>
    <t xml:space="preserve">期限</t>
  </si>
  <si>
    <t xml:space="preserve">ステータス</t>
  </si>
  <si>
    <t xml:space="preserve">進捗率</t>
  </si>
  <si>
    <t xml:space="preserve">依存タスクID</t>
  </si>
  <si>
    <t xml:space="preserve">T01</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</si>
  <si>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</si>
  <si>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</si>
  <si>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</si>
  <si>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</si>
  <si>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</si>
  <si>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</si>
  <si>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</si>
  <si>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</si>
  <si>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</si>
  <si>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</si>
  <si>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</si>
  <si>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全体進捗率</t>
  </si>
  <si>
    <t xml:space="preserve">完了タスク数 / 全タスク数</t>
  </si>
  <si>
    <t xml:space="preserve">品質管理チェックリスト</t>
  </si>
  <si>
    <t xml:space="preserve">「成果物品質（要求事項を満たすか）」と「プロジェクト品質（活動・プロセスが適切か）」の両方を満たすことで高品質を提供できます。</t>
  </si>
  <si>
    <t xml:space="preserve">■ 成果物品質（品質のコントロール）</t>
  </si>
  <si>
    <t xml:space="preserve">実施部門：プロジェクトチーム／手段：テスト・検査</t>
  </si>
  <si>
    <t xml:space="preserve">項目ID</t>
  </si>
  <si>
    <t xml:space="preserve">要求事項 / 品質基準</t>
  </si>
  <si>
    <t xml:space="preserve">受入基準</t>
  </si>
  <si>
    <t xml:space="preserve">判定（合格/不合格）</t>
  </si>
  <si>
    <t xml:space="preserve">D01</t>
  </si>
  <si>
    <t xml:space="preserve">D02</t>
  </si>
  <si>
    <t xml:space="preserve">D03</t>
  </si>
  <si>
    <t xml:space="preserve">D04</t>
  </si>
  <si>
    <t xml:space="preserve">D05</t>
  </si>
  <si>
    <t xml:space="preserve">■ プロジェクト品質（品質のマネジメント）</t>
  </si>
  <si>
    <t xml:space="preserve">実施部門：組織内の第三者（PMO・品質保証部）／手段：監査・レビュー</t>
  </si>
  <si>
    <t xml:space="preserve">監査・レビュー対象プロセス</t>
  </si>
  <si>
    <t xml:space="preserve">妥当性評価の観点</t>
  </si>
  <si>
    <t xml:space="preserve">評価結果</t>
  </si>
  <si>
    <t xml:space="preserve">改善アクション</t>
  </si>
  <si>
    <t xml:space="preserve">P01</t>
  </si>
  <si>
    <t xml:space="preserve">P02</t>
  </si>
  <si>
    <t xml:space="preserve">P03</t>
  </si>
  <si>
    <t xml:space="preserve">P04</t>
  </si>
  <si>
    <t xml:space="preserve">P05</t>
  </si>
  <si>
    <t xml:space="preserve">複雑さ評価 と リスク登録簿</t>
  </si>
  <si>
    <t xml:space="preserve">■ 複雑さをもたらす要因の評価</t>
  </si>
  <si>
    <t xml:space="preserve">複雑さの要因</t>
  </si>
  <si>
    <t xml:space="preserve">概要</t>
  </si>
  <si>
    <t xml:space="preserve">該当度
(高/中/低)</t>
  </si>
  <si>
    <t xml:space="preserve">具体的な内容</t>
  </si>
  <si>
    <t xml:space="preserve">対応策</t>
  </si>
  <si>
    <t xml:space="preserve">人の振る舞い</t>
  </si>
  <si>
    <t xml:space="preserve">行動・態度・経験の組み合わせ、主観的要素、タイムゾーン・言語・文化的規範の違い</t>
  </si>
  <si>
    <t xml:space="preserve">システムの振る舞い</t>
  </si>
  <si>
    <t xml:space="preserve">異なるシステムの統合による要素間の相互依存・脅威</t>
  </si>
  <si>
    <t xml:space="preserve">不確かさと曖昧さ</t>
  </si>
  <si>
    <t xml:space="preserve">理解・認識の欠如（不確かさ）／期待や最適選択が不明瞭（曖昧さ）</t>
  </si>
  <si>
    <t xml:space="preserve">技術革新</t>
  </si>
  <si>
    <t xml:space="preserve">プロジェクトの中で利用する新しい技術</t>
  </si>
  <si>
    <t xml:space="preserve">■ リスク登録簿</t>
  </si>
  <si>
    <t xml:space="preserve">リスクへの許容度と対応方針を明確にし、継続的に評価しましょう（原理⑩リスク）。スコア＝発生確率×影響度で自動計算されます。</t>
  </si>
  <si>
    <t xml:space="preserve">リスクID</t>
  </si>
  <si>
    <t xml:space="preserve">リスク内容</t>
  </si>
  <si>
    <t xml:space="preserve">発生確率(1-5)</t>
  </si>
  <si>
    <t xml:space="preserve">影響度(1-5)</t>
  </si>
  <si>
    <t xml:space="preserve">スコア</t>
  </si>
  <si>
    <t xml:space="preserve">種別
(脅威/好機)</t>
  </si>
  <si>
    <t xml:space="preserve">対応戦略</t>
  </si>
  <si>
    <t xml:space="preserve">担当</t>
  </si>
  <si>
    <t xml:space="preserve">R01</t>
  </si>
  <si>
    <t xml:space="preserve">R02</t>
  </si>
  <si>
    <t xml:space="preserve">R03</t>
  </si>
  <si>
    <t xml:space="preserve">R04</t>
  </si>
  <si>
    <t xml:space="preserve">R05</t>
  </si>
  <si>
    <t xml:space="preserve">R06</t>
  </si>
  <si>
    <t xml:space="preserve">R07</t>
  </si>
  <si>
    <t xml:space="preserve">R08</t>
  </si>
  <si>
    <t xml:space="preserve">※「種別」は脅威（悪影響）か好機（好影響）かを選択。「対応戦略」は4章の個別リスク対応方法（脅威：エスカレーション/回避/転嫁/軽減/受容、好機：エスカレーション/活用/共有/強化/受容）から選択します。</t>
  </si>
  <si>
    <t xml:space="preserve">チェンジマネジメント ワークシート</t>
  </si>
  <si>
    <t xml:space="preserve">現状から望ましい状態へ移行するための体系的アプローチ（強制ではなく動機付けで進める）を、4ステップで整理します。</t>
  </si>
  <si>
    <t xml:space="preserve">① 対象者は誰か</t>
  </si>
  <si>
    <t xml:space="preserve">今までと違うアプローチが必要なグループを特定</t>
  </si>
  <si>
    <t xml:space="preserve">② 何が変わるのか</t>
  </si>
  <si>
    <t xml:space="preserve">どのような違いが必要なのかを確かめる</t>
  </si>
  <si>
    <t xml:space="preserve">③ 何が必要とされているのか</t>
  </si>
  <si>
    <t xml:space="preserve">支援するのに必要な資料やサポートを提供する</t>
  </si>
  <si>
    <t xml:space="preserve">④ なぜ大切か</t>
  </si>
  <si>
    <t xml:space="preserve">行動の変化の重要性を監視し、強化していく</t>
  </si>
  <si>
    <t xml:space="preserve">■ 変更履歴ログ</t>
  </si>
  <si>
    <t xml:space="preserve">変更ID</t>
  </si>
  <si>
    <t xml:space="preserve">変更内容</t>
  </si>
  <si>
    <t xml:space="preserve">影響を受ける
ステークホルダー</t>
  </si>
  <si>
    <t xml:space="preserve">変更理由</t>
  </si>
  <si>
    <t xml:space="preserve">承認者</t>
  </si>
  <si>
    <t xml:space="preserve">承認日</t>
  </si>
  <si>
    <t xml:space="preserve">C01</t>
  </si>
  <si>
    <t xml:space="preserve">C02</t>
  </si>
  <si>
    <t xml:space="preserve">C03</t>
  </si>
  <si>
    <t xml:space="preserve">C04</t>
  </si>
  <si>
    <t xml:space="preserve">C05</t>
  </si>
  <si>
    <t xml:space="preserve">C06</t>
  </si>
  <si>
    <t xml:space="preserve">C07</t>
  </si>
  <si>
    <t xml:space="preserve">C08</t>
  </si>
  <si>
    <t xml:space="preserve">情報の流れ（報告ルート設計）</t>
  </si>
  <si>
    <t xml:space="preserve">価値実現システムの効果を高めるには情報の流れが重要です。上級管理職⇄ポートフォリオ⇄プログラムとプロジェクト⇄定常業務、それぞれの階層間で「何を」「どの頻度で」報告・連携するかを設計しましょう。</t>
  </si>
  <si>
    <t xml:space="preserve">階層 / 連携先</t>
  </si>
  <si>
    <t xml:space="preserve">受け取る情報</t>
  </si>
  <si>
    <t xml:space="preserve">報告・提供する情報</t>
  </si>
  <si>
    <t xml:space="preserve">連携方法・ツール</t>
  </si>
  <si>
    <t xml:space="preserve">上級管理職 → ポートフォリオ（戦略の伝達）</t>
  </si>
  <si>
    <t xml:space="preserve">ポートフォリオ → 上級管理職（パフォーマンス報告）</t>
  </si>
  <si>
    <t xml:space="preserve">ポートフォリオ → プログラム/プロジェクト（望ましい成果・ベネフィット・価値）</t>
  </si>
  <si>
    <t xml:space="preserve">プログラム/プロジェクト → ポートフォリオ（パフォーマンス情報と進捗）</t>
  </si>
  <si>
    <t xml:space="preserve">プログラム/プロジェクト → 定常業務（サポート・メンテナンス情報を含む成果物）</t>
  </si>
  <si>
    <t xml:space="preserve">定常業務 → プログラム/プロジェクト（更新・修正・調整のための情報）</t>
  </si>
  <si>
    <r>
      <rPr>
        <b val="true"/>
        <sz val="16"/>
        <color rgb="FFD6336C"/>
        <rFont val="Arial"/>
        <family val="0"/>
        <charset val="1"/>
      </rPr>
      <t xml:space="preserve">12</t>
    </r>
    <r>
      <rPr>
        <b val="true"/>
        <sz val="16"/>
        <color rgb="FFD6336C"/>
        <rFont val="Noto Sans CJK SC"/>
        <family val="2"/>
      </rPr>
      <t xml:space="preserve">の原理・原則 セルフチェック</t>
    </r>
  </si>
  <si>
    <t xml:space="preserve">各原則の実践度を5段階（1=不十分〜5=十分に実践できている）で自己評価し、改善したいアクションを記入しましょう。優先順位や重なりを気にせず、気づきのために使うものです。</t>
  </si>
  <si>
    <t xml:space="preserve">No.</t>
  </si>
  <si>
    <t xml:space="preserve">原理・原則</t>
  </si>
  <si>
    <t xml:space="preserve">実践度
(1-5)</t>
  </si>
  <si>
    <t xml:space="preserve">1</t>
  </si>
  <si>
    <t xml:space="preserve">スチュワードシップ</t>
  </si>
  <si>
    <t xml:space="preserve">誠実さ、コンプライアンス遵守など、プロジェクトマネジャーに求められるもの</t>
  </si>
  <si>
    <t xml:space="preserve">2</t>
  </si>
  <si>
    <t xml:space="preserve">チーム</t>
  </si>
  <si>
    <t xml:space="preserve">プロジェクトは1人ではなく、チームによって実行される</t>
  </si>
  <si>
    <t xml:space="preserve">3</t>
  </si>
  <si>
    <t xml:space="preserve">ステークホルダー</t>
  </si>
  <si>
    <t xml:space="preserve">ステークホルダーを特定・分析し、効果的に関わる</t>
  </si>
  <si>
    <t xml:space="preserve">4</t>
  </si>
  <si>
    <t xml:space="preserve">価値</t>
  </si>
  <si>
    <t xml:space="preserve">何を提供するのか、また、ベネフィットは継続的に評価されている</t>
  </si>
  <si>
    <t xml:space="preserve">5</t>
  </si>
  <si>
    <t xml:space="preserve">システム思考</t>
  </si>
  <si>
    <t xml:space="preserve">変更が発生したらプロジェクト内のあらゆるところに影響が出るなど、構成要素の関係性</t>
  </si>
  <si>
    <t xml:space="preserve">6</t>
  </si>
  <si>
    <t xml:space="preserve">リーダーシップ</t>
  </si>
  <si>
    <t xml:space="preserve">個人とチームのニーズに対応するために、ビジョン、動機付け、励まし、共感などにより影響を与える</t>
  </si>
  <si>
    <t xml:space="preserve">7</t>
  </si>
  <si>
    <t xml:space="preserve">テーラリング</t>
  </si>
  <si>
    <t xml:space="preserve">プロジェクトの状況に合わせて、開発アプローチを設計する</t>
  </si>
  <si>
    <t xml:space="preserve">8</t>
  </si>
  <si>
    <t xml:space="preserve">品質</t>
  </si>
  <si>
    <t xml:space="preserve">開発する成果物は、ステークホルダーの受入基準を満たしている必要がある</t>
  </si>
  <si>
    <t xml:space="preserve">9</t>
  </si>
  <si>
    <t xml:space="preserve">複雑さ</t>
  </si>
  <si>
    <t xml:space="preserve">人の影響や、新しいことに臨むことで複雑さは増し、その複雑性に対応する必要がある</t>
  </si>
  <si>
    <t xml:space="preserve">10</t>
  </si>
  <si>
    <t xml:space="preserve">リスク</t>
  </si>
  <si>
    <t xml:space="preserve">リスクに対してどのように臨むのか、許容度はどの程度なのかを継続的に評価する</t>
  </si>
  <si>
    <t xml:space="preserve">11</t>
  </si>
  <si>
    <t xml:space="preserve">適応力と回復力</t>
  </si>
  <si>
    <t xml:space="preserve">プロジェクトには変化が発生するため、柔軟性が必要である</t>
  </si>
  <si>
    <t xml:space="preserve">12</t>
  </si>
  <si>
    <t xml:space="preserve">チェンジ</t>
  </si>
  <si>
    <t xml:space="preserve">プロジェクトの成果により母体組織にはあらゆる変化が発生する。影響を受ける人には継続的にアプローチする</t>
  </si>
  <si>
    <t xml:space="preserve">平均スコア</t>
  </si>
  <si>
    <t xml:space="preserve">組織のプロセス資産チェックリスト</t>
  </si>
  <si>
    <t xml:space="preserve">過去のプロジェクトの蓄積をデータとして保存し、組織のプロセス資産として活用できるようにしましょう。自分のプロジェクトで使える資産を棚卸しします。</t>
  </si>
  <si>
    <t xml:space="preserve">種類</t>
  </si>
  <si>
    <t xml:space="preserve">資産の例</t>
  </si>
  <si>
    <t xml:space="preserve">このプロジェクトでの資産名 / 内容</t>
  </si>
  <si>
    <t xml:space="preserve">保存場所</t>
  </si>
  <si>
    <t xml:space="preserve">最終更新日 / 備考</t>
  </si>
  <si>
    <t xml:space="preserve">プロジェクトの立ち上げと計画で
利用できるもの</t>
  </si>
  <si>
    <t xml:space="preserve">ベンダーのリスト、計画書などのテンプレート、母体組織の品質に対する方針、プロジェクトの進め方（ライフサイクル）など</t>
  </si>
  <si>
    <t xml:space="preserve">プロジェクトの実行と監視・
コントロールで利用できるもの</t>
  </si>
  <si>
    <t xml:space="preserve">課題が発生した場合の対処法、資源の管理方法、課題管理表などのテンプレート、標準化された作業の進め方など</t>
  </si>
  <si>
    <t xml:space="preserve">母体組織の知識資産</t>
  </si>
  <si>
    <t xml:space="preserve">労務時間のデータ、予算などの財務データ、構成管理手順などのデータ、過去のプロジェクトで得られた教訓など</t>
  </si>
  <si>
    <t xml:space="preserve">ステークホルダーエンゲージメント分析</t>
  </si>
  <si>
    <t xml:space="preserve">セイリエンスモデル（権力・正当性・緊急性）、権力と関心度のグリッド、関与度評価マトリックス（現在C/望まれるD）を1枚に統合。4章の分析手法をもとに、優先度の高いステークホルダーを見極めます。</t>
  </si>
  <si>
    <t xml:space="preserve">ステークホルダー名</t>
  </si>
  <si>
    <t xml:space="preserve">権力
(高/中/低)</t>
  </si>
  <si>
    <t xml:space="preserve">正当性
(高/中/低)</t>
  </si>
  <si>
    <t xml:space="preserve">緊急性
(高/中/低)</t>
  </si>
  <si>
    <t xml:space="preserve">関心度
(高/中/低)</t>
  </si>
  <si>
    <t xml:space="preserve">現在の関与度(C)</t>
  </si>
  <si>
    <t xml:space="preserve">望まれる関与度(D)</t>
  </si>
  <si>
    <t xml:space="preserve">ギャップ</t>
  </si>
  <si>
    <t xml:space="preserve">推奨アプローチ</t>
  </si>
  <si>
    <t xml:space="preserve">・権力/正当性/緊急性の3つすべてが「高」に近いほど＝セイリエンスモデルでの重要人物
・権力「高」×関心度「低」＝満足な状態を保つ／権力「高」×関心度「高」＝注意深くマネジメント／権力「低」×関心度「低」＝監視する／権力「低」×関心度「高」＝常に情報を伝える
・現在(C)と望まれる(D)の関与度にギャップがある場合、そのギャップを埋めるコミュニケーション（プッシュ型/プル型/双方向型）を「推奨アプローチ」欄に記載</t>
  </si>
  <si>
    <t xml:space="preserve">■ コミュニケーション方法の使い分け（参考）</t>
  </si>
  <si>
    <t xml:space="preserve">方法</t>
  </si>
  <si>
    <t xml:space="preserve">特徴</t>
  </si>
  <si>
    <t xml:space="preserve">主な用途</t>
  </si>
  <si>
    <t xml:space="preserve">プッシュ型</t>
  </si>
  <si>
    <t xml:space="preserve">特定の受け手へ一方的に送信。到達・理解の確認はできない</t>
  </si>
  <si>
    <t xml:space="preserve">情報量が多い場合、対象者が多い場合</t>
  </si>
  <si>
    <t xml:space="preserve">プル型</t>
  </si>
  <si>
    <t xml:space="preserve">受け手が自ら取得（ポータル等）。主体的アクセスが必要</t>
  </si>
  <si>
    <t xml:space="preserve">情報量が大量、対象者が多い場合</t>
  </si>
  <si>
    <t xml:space="preserve">双方向型</t>
  </si>
  <si>
    <t xml:space="preserve">会議・電話・Web会議等でやり取り。深い対話が可能</t>
  </si>
  <si>
    <t xml:space="preserve">共通理解が必要な議題、エンゲージメント向上に直結</t>
  </si>
  <si>
    <t xml:space="preserve">チームパフォーマンス管理</t>
  </si>
  <si>
    <t xml:space="preserve">パフォーマンスの高いチームに共通する要素をセルフチェックし、動機付け・コンフリクトの発生状況を記録します。</t>
  </si>
  <si>
    <t xml:space="preserve">■ パフォーマンスの高いチームの要素セルフチェック</t>
  </si>
  <si>
    <t xml:space="preserve">要素</t>
  </si>
  <si>
    <t xml:space="preserve">内容</t>
  </si>
  <si>
    <t xml:space="preserve">達成度(1-5)</t>
  </si>
  <si>
    <t xml:space="preserve">オープンなコミュニケーション</t>
  </si>
  <si>
    <t xml:space="preserve">理解の共有、信頼、協働が可能になる</t>
  </si>
  <si>
    <t xml:space="preserve">理解の共有</t>
  </si>
  <si>
    <t xml:space="preserve">プロジェクトによって得られるベネフィットを共有している</t>
  </si>
  <si>
    <t xml:space="preserve">オーナーシップの共有</t>
  </si>
  <si>
    <t xml:space="preserve">成果に対して能動的に主体性や責任を持ち、行動する</t>
  </si>
  <si>
    <t xml:space="preserve">信頼</t>
  </si>
  <si>
    <t xml:space="preserve">互いに信頼していて、成功のための努力を進める</t>
  </si>
  <si>
    <t xml:space="preserve">協働</t>
  </si>
  <si>
    <t xml:space="preserve">多様なアイデアを生み出し、よりよい成果を求める</t>
  </si>
  <si>
    <t xml:space="preserve">変化する状況に対応する能力と、挫折や失敗から迅速に回復する能力</t>
  </si>
  <si>
    <t xml:space="preserve">エンパワーメント</t>
  </si>
  <si>
    <t xml:space="preserve">意思決定を行う権限が与えられている</t>
  </si>
  <si>
    <t xml:space="preserve">認知</t>
  </si>
  <si>
    <t xml:space="preserve">パフォーマンスが適切に評価されていることを認識している</t>
  </si>
  <si>
    <t xml:space="preserve">平均達成度</t>
  </si>
  <si>
    <t xml:space="preserve">■ 動機付けの状況</t>
  </si>
  <si>
    <t xml:space="preserve">メンバー</t>
  </si>
  <si>
    <t xml:space="preserve">外発的動機付け（報酬・評価等）</t>
  </si>
  <si>
    <t xml:space="preserve">内発的動機付け（成長実感・好奇心等）</t>
  </si>
  <si>
    <t xml:space="preserve">エンゲージメント向上策</t>
  </si>
  <si>
    <t xml:space="preserve">■ コンフリクトログ</t>
  </si>
  <si>
    <r>
      <rPr>
        <i val="true"/>
        <sz val="9"/>
        <color rgb="FF666666"/>
        <rFont val="Arial"/>
        <family val="0"/>
        <charset val="1"/>
      </rPr>
      <t xml:space="preserve">5</t>
    </r>
    <r>
      <rPr>
        <i val="true"/>
        <sz val="9"/>
        <color rgb="FF666666"/>
        <rFont val="Noto Sans CJK SC"/>
        <family val="2"/>
      </rPr>
      <t xml:space="preserve">つのアプローチ（撤退・回避／鎮静・適応／妥協／強制・指示／協力・問題解決）を状況に応じて使い分けます。「協力・問題解決」が最良とされますが、時間がかかるため状況判断が必要です。</t>
    </r>
  </si>
  <si>
    <t xml:space="preserve">発生日</t>
  </si>
  <si>
    <t xml:space="preserve">コンフリクトの内容</t>
  </si>
  <si>
    <t xml:space="preserve">採用したアプローチ</t>
  </si>
  <si>
    <t xml:space="preserve">結果・振り返り</t>
  </si>
  <si>
    <t xml:space="preserve">開発アプローチ選定チェックリスト</t>
  </si>
  <si>
    <r>
      <rPr>
        <i val="true"/>
        <sz val="9"/>
        <color rgb="FF666666"/>
        <rFont val="Arial"/>
        <family val="0"/>
        <charset val="1"/>
      </rPr>
      <t xml:space="preserve">PMBOK Guide</t>
    </r>
    <r>
      <rPr>
        <i val="true"/>
        <sz val="9"/>
        <color rgb="FF666666"/>
        <rFont val="Noto Sans CJK SC"/>
        <family val="2"/>
      </rPr>
      <t xml:space="preserve">が示す</t>
    </r>
    <r>
      <rPr>
        <i val="true"/>
        <sz val="9"/>
        <color rgb="FF666666"/>
        <rFont val="Arial"/>
        <family val="0"/>
        <charset val="1"/>
      </rPr>
      <t xml:space="preserve">3</t>
    </r>
    <r>
      <rPr>
        <i val="true"/>
        <sz val="9"/>
        <color rgb="FF666666"/>
        <rFont val="Noto Sans CJK SC"/>
        <family val="2"/>
      </rPr>
      <t xml:space="preserve">つのカテゴリー（プロジェクト・成果物・組織）の要因を評価し、予測型か適応型かの判断材料にします。「適応型寄り」が多いほど、反復型・漸進型・アジャイル型などの適応型アプローチが妥当です。</t>
    </r>
  </si>
  <si>
    <t xml:space="preserve">① プロジェクトに関わる要因</t>
  </si>
  <si>
    <t xml:space="preserve">要因</t>
  </si>
  <si>
    <t xml:space="preserve">確認観点</t>
  </si>
  <si>
    <t xml:space="preserve">判定
(予測型寄り/適応型寄り)</t>
  </si>
  <si>
    <t xml:space="preserve">ステークホルダーの関与度</t>
  </si>
  <si>
    <t xml:space="preserve">プロセス全体を通した積極的な関与が必要か</t>
  </si>
  <si>
    <t xml:space="preserve">スケジュールの制約条件</t>
  </si>
  <si>
    <t xml:space="preserve">完成品の一部機能を早期提供する必要があるか</t>
  </si>
  <si>
    <t xml:space="preserve">資金調達の可能性</t>
  </si>
  <si>
    <t xml:space="preserve">少ない投資で段階的にリリースする必要があるか</t>
  </si>
  <si>
    <t xml:space="preserve">② 成果物に関わる要因</t>
  </si>
  <si>
    <t xml:space="preserve">イノベーションの度合い・要求事項の確実性</t>
  </si>
  <si>
    <t xml:space="preserve">要求事項が明確か、技術革新を伴うか</t>
  </si>
  <si>
    <t xml:space="preserve">スコープの安定性・変更の容易さ</t>
  </si>
  <si>
    <t xml:space="preserve">スコープ変更の可能性は高いか低いか</t>
  </si>
  <si>
    <t xml:space="preserve">デリバリーオプション</t>
  </si>
  <si>
    <t xml:space="preserve">一括提供か、部分的な提供が可能か</t>
  </si>
  <si>
    <t xml:space="preserve">安全要求事項・規制</t>
  </si>
  <si>
    <t xml:space="preserve">厳格な安全要求事項や規制があるか</t>
  </si>
  <si>
    <t xml:space="preserve">③ 組織に関わる要因</t>
  </si>
  <si>
    <t xml:space="preserve">階層が多く硬直的か、フラットで自律的か</t>
  </si>
  <si>
    <t xml:space="preserve">文化</t>
  </si>
  <si>
    <t xml:space="preserve">管理・指示の文化か、自ら考え行動する文化か</t>
  </si>
  <si>
    <t xml:space="preserve">チームの規模・地理的分散</t>
  </si>
  <si>
    <t xml:space="preserve">大規模で分散しているか、少人数で1カ所に集約か</t>
  </si>
  <si>
    <t xml:space="preserve">■ 総合判定</t>
  </si>
  <si>
    <t xml:space="preserve">予測型寄りの数</t>
  </si>
  <si>
    <t xml:space="preserve">適応型寄りの数</t>
  </si>
  <si>
    <t xml:space="preserve">推奨される開発アプローチ</t>
  </si>
  <si>
    <t xml:space="preserve">見積り・予備費管理</t>
  </si>
  <si>
    <t xml:space="preserve">開発アプローチの特徴に応じて利用しやすい見積り方法を選び、コンティンジェンシー予備／マネジメント予備を管理します。</t>
  </si>
  <si>
    <t xml:space="preserve">■ 見積り方法の選択</t>
  </si>
  <si>
    <t xml:space="preserve">見積り対象（成果物/作業）</t>
  </si>
  <si>
    <t xml:space="preserve">見積り種類</t>
  </si>
  <si>
    <t xml:space="preserve">見積り結果</t>
  </si>
  <si>
    <t xml:space="preserve">根拠・前提条件</t>
  </si>
  <si>
    <t xml:space="preserve">■ 予備費（リザーブ）管理</t>
  </si>
  <si>
    <t xml:space="preserve">コンティンジェンシー予備はコストベースラインに含まれ、プロジェクトマネジャーが管理。マネジメント予備はプロジェクト総予算に含まれるがコストベースラインには含まれず、スポンサーが管理します。</t>
  </si>
  <si>
    <t xml:space="preserve">項目</t>
  </si>
  <si>
    <t xml:space="preserve">金額</t>
  </si>
  <si>
    <t xml:space="preserve">管理者</t>
  </si>
  <si>
    <t xml:space="preserve">使用条件・承認プロセス</t>
  </si>
  <si>
    <t xml:space="preserve">プロジェクト見積り総額（コスト見積りの合計）</t>
  </si>
  <si>
    <t xml:space="preserve">コンティンジェンシー予備（特定できたリスク対応）</t>
  </si>
  <si>
    <t xml:space="preserve">＝コストベースライン（見積り＋コンティンジェンシー予備）</t>
  </si>
  <si>
    <t xml:space="preserve">マネジメント予備（特定できないリスク対応）</t>
  </si>
  <si>
    <t xml:space="preserve">スポンサー</t>
  </si>
  <si>
    <t xml:space="preserve">＝プロジェクト総予算（コストベースライン＋マネジメント予備）</t>
  </si>
  <si>
    <t xml:space="preserve">プロジェクト作業・調達管理</t>
  </si>
  <si>
    <t xml:space="preserve">作業プロセスの改善記録と、外部ベンダーへの調達プロセスの進捗を管理します。</t>
  </si>
  <si>
    <t xml:space="preserve">■ プロセス改善ログ（リーン生産方式／レトロスペクティブ）</t>
  </si>
  <si>
    <t xml:space="preserve">実施日</t>
  </si>
  <si>
    <t xml:space="preserve">手法</t>
  </si>
  <si>
    <t xml:space="preserve">発見された無駄・課題</t>
  </si>
  <si>
    <t xml:space="preserve">効果測定</t>
  </si>
  <si>
    <t xml:space="preserve">■ 調達プロセス管理</t>
  </si>
  <si>
    <t xml:space="preserve">①調達作業範囲記述書作成→②評価方法決定→③入札文書作成→④入札説明会→⑤評価→⑥交渉→⑦契約締結、の流れで進捗を管理します。</t>
  </si>
  <si>
    <t xml:space="preserve">調達品目・作業</t>
  </si>
  <si>
    <t xml:space="preserve">入札文書の種類</t>
  </si>
  <si>
    <t xml:space="preserve">対象ベンダー</t>
  </si>
  <si>
    <t xml:space="preserve">現在のステップ</t>
  </si>
  <si>
    <t xml:space="preserve">契約締結予定日</t>
  </si>
  <si>
    <t xml:space="preserve">品質コスト管理（COQ）</t>
  </si>
  <si>
    <t xml:space="preserve">品質コストは「適合コスト（予防・評価）」と「不適合コスト（内部不良・外部不良）」に分類されます。バランスを確認しながら品質投資を計画しましょう。</t>
  </si>
  <si>
    <t xml:space="preserve">分類</t>
  </si>
  <si>
    <t xml:space="preserve">項目・内容</t>
  </si>
  <si>
    <t xml:space="preserve">適合コスト｜予防コスト</t>
  </si>
  <si>
    <t xml:space="preserve">計画策定、プログラム開発・準備 等</t>
  </si>
  <si>
    <t xml:space="preserve">適合コスト｜評価コスト</t>
  </si>
  <si>
    <t xml:space="preserve">評価・テストなどの検証作業、サプライヤー評価 等</t>
  </si>
  <si>
    <t xml:space="preserve">不適合コスト｜内部不良コスト</t>
  </si>
  <si>
    <t xml:space="preserve">手直し、再作業、廃棄、追加テスト 等</t>
  </si>
  <si>
    <t xml:space="preserve">不適合コスト｜外部不良コスト</t>
  </si>
  <si>
    <t xml:space="preserve">保証対応、返品、リコール、顧客対応費用 等</t>
  </si>
  <si>
    <t xml:space="preserve">適合コスト合計</t>
  </si>
  <si>
    <t xml:space="preserve">不適合コスト合計</t>
  </si>
  <si>
    <t xml:space="preserve">品質コスト総額</t>
  </si>
  <si>
    <t xml:space="preserve">不適合コスト比率</t>
  </si>
  <si>
    <t xml:space="preserve">不適合コスト比率が高い場合、予防・評価への投資（適合コスト）を見直すサインです。</t>
  </si>
  <si>
    <t xml:space="preserve">測定ダッシュボード（KPI・事業価値）</t>
  </si>
  <si>
    <t xml:space="preserve">先行指標と遅行指標のバランスを取りながら測定します。KPI設計時はSMART基準（具体的・有意義・達成可能・関連性・期限）を意識しましょう。</t>
  </si>
  <si>
    <r>
      <rPr>
        <b val="true"/>
        <sz val="10"/>
        <color rgb="FFFFFFFF"/>
        <rFont val="Arial"/>
        <family val="0"/>
        <charset val="1"/>
      </rPr>
      <t xml:space="preserve">■ KPI</t>
    </r>
    <r>
      <rPr>
        <b val="true"/>
        <sz val="10"/>
        <color rgb="FFFFFFFF"/>
        <rFont val="Noto Sans CJK SC"/>
        <family val="2"/>
      </rPr>
      <t xml:space="preserve">一覧</t>
    </r>
  </si>
  <si>
    <r>
      <rPr>
        <b val="true"/>
        <sz val="11"/>
        <color rgb="FFFFFFFF"/>
        <rFont val="Arial"/>
        <family val="0"/>
        <charset val="1"/>
      </rPr>
      <t xml:space="preserve">KPI</t>
    </r>
    <r>
      <rPr>
        <b val="true"/>
        <sz val="11"/>
        <color rgb="FFFFFFFF"/>
        <rFont val="Noto Sans CJK SC"/>
        <family val="2"/>
      </rPr>
      <t xml:space="preserve">名</t>
    </r>
  </si>
  <si>
    <t xml:space="preserve">種類（先行/遅行）</t>
  </si>
  <si>
    <t xml:space="preserve">目標値</t>
  </si>
  <si>
    <t xml:space="preserve">現在値</t>
  </si>
  <si>
    <r>
      <rPr>
        <b val="true"/>
        <sz val="11"/>
        <color rgb="FFFFFFFF"/>
        <rFont val="Arial"/>
        <family val="0"/>
        <charset val="1"/>
      </rPr>
      <t xml:space="preserve">SMART</t>
    </r>
    <r>
      <rPr>
        <b val="true"/>
        <sz val="11"/>
        <color rgb="FFFFFFFF"/>
        <rFont val="Noto Sans CJK SC"/>
        <family val="2"/>
      </rPr>
      <t xml:space="preserve">基準を満たすか</t>
    </r>
  </si>
  <si>
    <r>
      <rPr>
        <b val="true"/>
        <sz val="10"/>
        <color rgb="FFFFFFFF"/>
        <rFont val="Arial"/>
        <family val="0"/>
        <charset val="1"/>
      </rPr>
      <t xml:space="preserve">■ SMART</t>
    </r>
    <r>
      <rPr>
        <b val="true"/>
        <sz val="10"/>
        <color rgb="FFFFFFFF"/>
        <rFont val="Noto Sans CJK SC"/>
        <family val="2"/>
      </rPr>
      <t xml:space="preserve">基準チェック（参考）</t>
    </r>
  </si>
  <si>
    <r>
      <rPr>
        <b val="true"/>
        <sz val="10"/>
        <rFont val="Arial"/>
        <family val="0"/>
        <charset val="1"/>
      </rPr>
      <t xml:space="preserve">Specific</t>
    </r>
    <r>
      <rPr>
        <b val="true"/>
        <sz val="10"/>
        <rFont val="Noto Sans CJK SC"/>
        <family val="2"/>
      </rPr>
      <t xml:space="preserve">（具体的）</t>
    </r>
  </si>
  <si>
    <t xml:space="preserve">何を測定対象とするのか明確か</t>
  </si>
  <si>
    <r>
      <rPr>
        <b val="true"/>
        <sz val="10"/>
        <rFont val="Arial"/>
        <family val="0"/>
        <charset val="1"/>
      </rPr>
      <t xml:space="preserve">Meaningful</t>
    </r>
    <r>
      <rPr>
        <b val="true"/>
        <sz val="10"/>
        <rFont val="Noto Sans CJK SC"/>
        <family val="2"/>
      </rPr>
      <t xml:space="preserve">（有意義）</t>
    </r>
  </si>
  <si>
    <t xml:space="preserve">ビジネスケースや要求事項に結びついているか</t>
  </si>
  <si>
    <r>
      <rPr>
        <b val="true"/>
        <sz val="10"/>
        <rFont val="Arial"/>
        <family val="0"/>
        <charset val="1"/>
      </rPr>
      <t xml:space="preserve">Achievable</t>
    </r>
    <r>
      <rPr>
        <b val="true"/>
        <sz val="10"/>
        <rFont val="Noto Sans CJK SC"/>
        <family val="2"/>
      </rPr>
      <t xml:space="preserve">（達成可能）</t>
    </r>
  </si>
  <si>
    <t xml:space="preserve">人員・技術・環境に照らして妥当で現実的か</t>
  </si>
  <si>
    <r>
      <rPr>
        <b val="true"/>
        <sz val="10"/>
        <rFont val="Arial"/>
        <family val="0"/>
        <charset val="1"/>
      </rPr>
      <t xml:space="preserve">Relevant</t>
    </r>
    <r>
      <rPr>
        <b val="true"/>
        <sz val="10"/>
        <rFont val="Noto Sans CJK SC"/>
        <family val="2"/>
      </rPr>
      <t xml:space="preserve">（関連性）</t>
    </r>
  </si>
  <si>
    <t xml:space="preserve">目標との関連性があり、行動を促す内容か</t>
  </si>
  <si>
    <r>
      <rPr>
        <b val="true"/>
        <sz val="10"/>
        <rFont val="Arial"/>
        <family val="0"/>
        <charset val="1"/>
      </rPr>
      <t xml:space="preserve">Timely</t>
    </r>
    <r>
      <rPr>
        <b val="true"/>
        <sz val="10"/>
        <rFont val="Noto Sans CJK SC"/>
        <family val="2"/>
      </rPr>
      <t xml:space="preserve">（期限）</t>
    </r>
  </si>
  <si>
    <t xml:space="preserve">いつまでに達成するのか期限が明確か</t>
  </si>
  <si>
    <t xml:space="preserve">■ 事業価値の尺度（BCR・ROI・NPV）</t>
  </si>
  <si>
    <t xml:space="preserve">値</t>
  </si>
  <si>
    <t xml:space="preserve">計算式</t>
  </si>
  <si>
    <t xml:space="preserve">判定</t>
  </si>
  <si>
    <t xml:space="preserve">想定ベネフィット（円）</t>
  </si>
  <si>
    <t xml:space="preserve">プロジェクトコスト（円）</t>
  </si>
  <si>
    <r>
      <rPr>
        <b val="true"/>
        <sz val="10"/>
        <rFont val="Arial"/>
        <family val="0"/>
        <charset val="1"/>
      </rPr>
      <t xml:space="preserve">BCR</t>
    </r>
    <r>
      <rPr>
        <b val="true"/>
        <sz val="10"/>
        <rFont val="Noto Sans CJK SC"/>
        <family val="2"/>
      </rPr>
      <t xml:space="preserve">（費用便益率）</t>
    </r>
  </si>
  <si>
    <t xml:space="preserve">ベネフィット ÷ コスト</t>
  </si>
  <si>
    <r>
      <rPr>
        <b val="true"/>
        <sz val="10"/>
        <rFont val="Arial"/>
        <family val="0"/>
        <charset val="1"/>
      </rPr>
      <t xml:space="preserve">ROI</t>
    </r>
    <r>
      <rPr>
        <b val="true"/>
        <sz val="10"/>
        <rFont val="Noto Sans CJK SC"/>
        <family val="2"/>
      </rPr>
      <t xml:space="preserve">（投資対効果）</t>
    </r>
  </si>
  <si>
    <t xml:space="preserve">（ベネフィット − コスト）÷ コスト</t>
  </si>
  <si>
    <r>
      <rPr>
        <b val="true"/>
        <sz val="10"/>
        <color rgb="FFFFFFFF"/>
        <rFont val="Arial"/>
        <family val="0"/>
        <charset val="1"/>
      </rPr>
      <t xml:space="preserve">■ NPV</t>
    </r>
    <r>
      <rPr>
        <b val="true"/>
        <sz val="10"/>
        <color rgb="FFFFFFFF"/>
        <rFont val="Noto Sans CJK SC"/>
        <family val="2"/>
      </rPr>
      <t xml:space="preserve">（正味現在価値）シミュレーション</t>
    </r>
  </si>
  <si>
    <t xml:space="preserve">将来の売上・利益（円）</t>
  </si>
  <si>
    <t xml:space="preserve">年数（年）</t>
  </si>
  <si>
    <t xml:space="preserve">想定金利（年率）</t>
  </si>
  <si>
    <t xml:space="preserve">開発費（円）</t>
  </si>
  <si>
    <t xml:space="preserve">現在価値（PV）</t>
  </si>
  <si>
    <t xml:space="preserve">将来価値 ÷ (1+金利)^年数</t>
  </si>
  <si>
    <r>
      <rPr>
        <b val="true"/>
        <sz val="10"/>
        <rFont val="Arial"/>
        <family val="0"/>
        <charset val="1"/>
      </rPr>
      <t xml:space="preserve">NPV</t>
    </r>
    <r>
      <rPr>
        <b val="true"/>
        <sz val="10"/>
        <rFont val="Noto Sans CJK SC"/>
        <family val="2"/>
      </rPr>
      <t xml:space="preserve">（正味現在価値）</t>
    </r>
  </si>
  <si>
    <t xml:space="preserve">現在価値（PV） − 開発費</t>
  </si>
  <si>
    <t xml:space="preserve">不確かさ・曖昧さ・複雑さ対応ログ</t>
  </si>
  <si>
    <t xml:space="preserve">「不確かさ」「曖昧さ」「複雑さ」はリスクとは別に、プロジェクトで積極的にマネジメントすべき対象です。事象を記録し、対応方法を検討・実施しましょう。</t>
  </si>
  <si>
    <t xml:space="preserve">事象・状況</t>
  </si>
  <si>
    <t xml:space="preserve">対応方法</t>
  </si>
  <si>
    <t xml:space="preserve">結果・フォローアップ</t>
  </si>
  <si>
    <t xml:space="preserve">不確かさ（理解・認識の欠如、予測不可能な状態）</t>
  </si>
  <si>
    <t xml:space="preserve">曖昧さ｜概念的（用語・コミュニケーションに起因）</t>
  </si>
  <si>
    <t xml:space="preserve">曖昧さ｜状況的（複数の選択肢が存在）</t>
  </si>
  <si>
    <t xml:space="preserve">複雑さ｜人の振る舞い</t>
  </si>
  <si>
    <t xml:space="preserve">複雑さ｜システムの振る舞い</t>
  </si>
  <si>
    <t xml:space="preserve">複雑さ｜技術革新</t>
  </si>
  <si>
    <t xml:space="preserve">【対応方法の参考】
不確かさ → 情報の収集／複数の結果に備える（バックアッププラン・セーフティマージン）／回復力を養う
概念的な曖昧さ → 用語のルール・定義の確立
状況的な曖昧さ → 段階的詳細化／実験／プロトタイプ
複雑さ → システムの分割／多様な視点の確保／シミュレーション（プロセスベース）</t>
  </si>
</sst>
</file>

<file path=xl/styles.xml><?xml version="1.0" encoding="utf-8"?>
<styleSheet xmlns="http://schemas.openxmlformats.org/spreadsheetml/2006/main">
  <numFmts count="7">
    <numFmt numFmtId="164" formatCode="General"/>
    <numFmt numFmtId="165" formatCode="0%"/>
    <numFmt numFmtId="166" formatCode="0.0"/>
    <numFmt numFmtId="167" formatCode="General"/>
    <numFmt numFmtId="168" formatCode="0.0%"/>
    <numFmt numFmtId="169" formatCode="0.00"/>
    <numFmt numFmtId="170" formatCode="#,##0"/>
  </numFmts>
  <fonts count="27">
    <font>
      <sz val="11"/>
      <color theme="1"/>
      <name val="Calibri"/>
      <family val="2"/>
      <charset val="1"/>
    </font>
    <font>
      <sz val="10"/>
      <name val="Arial"/>
      <family val="0"/>
    </font>
    <font>
      <sz val="10"/>
      <name val="Arial"/>
      <family val="0"/>
    </font>
    <font>
      <sz val="10"/>
      <name val="Arial"/>
      <family val="0"/>
    </font>
    <font>
      <b val="true"/>
      <sz val="16"/>
      <color rgb="FFD6336C"/>
      <name val="Noto Sans CJK SC"/>
      <family val="2"/>
      <charset val="1"/>
    </font>
    <font>
      <i val="true"/>
      <sz val="11"/>
      <color rgb="FF555555"/>
      <name val="Arial"/>
      <family val="0"/>
      <charset val="1"/>
    </font>
    <font>
      <i val="true"/>
      <sz val="11"/>
      <color rgb="FF555555"/>
      <name val="Noto Sans CJK SC"/>
      <family val="2"/>
    </font>
    <font>
      <b val="true"/>
      <sz val="10"/>
      <name val="Noto Sans CJK SC"/>
      <family val="2"/>
      <charset val="1"/>
    </font>
    <font>
      <sz val="10"/>
      <name val="Noto Sans CJK SC"/>
      <family val="2"/>
      <charset val="1"/>
    </font>
    <font>
      <sz val="11"/>
      <color theme="1"/>
      <name val="Noto Sans CJK SC"/>
      <family val="2"/>
      <charset val="1"/>
    </font>
    <font>
      <b val="true"/>
      <sz val="10"/>
      <name val="Arial"/>
      <family val="0"/>
      <charset val="1"/>
    </font>
    <font>
      <b val="true"/>
      <sz val="10"/>
      <name val="Noto Sans CJK SC"/>
      <family val="2"/>
    </font>
    <font>
      <sz val="10"/>
      <name val="Arial"/>
      <family val="0"/>
      <charset val="1"/>
    </font>
    <font>
      <sz val="10"/>
      <name val="Noto Sans CJK SC"/>
      <family val="2"/>
    </font>
    <font>
      <sz val="10"/>
      <color rgb="FF0000FF"/>
      <name val="Arial"/>
      <family val="0"/>
      <charset val="1"/>
    </font>
    <font>
      <b val="true"/>
      <sz val="10"/>
      <color rgb="FFFFFFFF"/>
      <name val="Arial"/>
      <family val="0"/>
      <charset val="1"/>
    </font>
    <font>
      <b val="true"/>
      <sz val="10"/>
      <color rgb="FFFFFFFF"/>
      <name val="Noto Sans CJK SC"/>
      <family val="2"/>
    </font>
    <font>
      <i val="true"/>
      <sz val="9"/>
      <color rgb="FF666666"/>
      <name val="Noto Sans CJK SC"/>
      <family val="2"/>
      <charset val="1"/>
    </font>
    <font>
      <b val="true"/>
      <sz val="11"/>
      <color rgb="FFFFFFFF"/>
      <name val="Noto Sans CJK SC"/>
      <family val="2"/>
      <charset val="1"/>
    </font>
    <font>
      <b val="true"/>
      <sz val="10"/>
      <color rgb="FFFFFFFF"/>
      <name val="Noto Sans CJK SC"/>
      <family val="2"/>
      <charset val="1"/>
    </font>
    <font>
      <b val="true"/>
      <sz val="16"/>
      <color rgb="FFD6336C"/>
      <name val="Arial"/>
      <family val="0"/>
      <charset val="1"/>
    </font>
    <font>
      <b val="true"/>
      <sz val="16"/>
      <color rgb="FFD6336C"/>
      <name val="Noto Sans CJK SC"/>
      <family val="2"/>
    </font>
    <font>
      <i val="true"/>
      <sz val="9"/>
      <color rgb="FF666666"/>
      <name val="Arial"/>
      <family val="0"/>
      <charset val="1"/>
    </font>
    <font>
      <i val="true"/>
      <sz val="9"/>
      <color rgb="FF666666"/>
      <name val="Noto Sans CJK SC"/>
      <family val="2"/>
    </font>
    <font>
      <b val="true"/>
      <sz val="11"/>
      <color rgb="FFFFFFFF"/>
      <name val="Arial"/>
      <family val="0"/>
      <charset val="1"/>
    </font>
    <font>
      <sz val="9"/>
      <color rgb="FF444444"/>
      <name val="Noto Sans CJK SC"/>
      <family val="2"/>
      <charset val="1"/>
    </font>
    <font>
      <b val="true"/>
      <sz val="11"/>
      <color rgb="FFFFFFFF"/>
      <name val="Noto Sans CJK SC"/>
      <family val="2"/>
    </font>
  </fonts>
  <fills count="7">
    <fill>
      <patternFill patternType="none"/>
    </fill>
    <fill>
      <patternFill patternType="gray125"/>
    </fill>
    <fill>
      <patternFill patternType="solid">
        <fgColor rgb="FFFCE4EC"/>
        <bgColor rgb="FFF1F3F5"/>
      </patternFill>
    </fill>
    <fill>
      <patternFill patternType="solid">
        <fgColor rgb="FFFFF9C4"/>
        <bgColor rgb="FFF1F3F5"/>
      </patternFill>
    </fill>
    <fill>
      <patternFill patternType="solid">
        <fgColor rgb="FFF783AC"/>
        <bgColor rgb="FFF4A9A9"/>
      </patternFill>
    </fill>
    <fill>
      <patternFill patternType="solid">
        <fgColor rgb="FFD6336C"/>
        <bgColor rgb="FF993366"/>
      </patternFill>
    </fill>
    <fill>
      <patternFill patternType="solid">
        <fgColor rgb="FFF1F3F5"/>
        <bgColor rgb="FFFFFFFF"/>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left" vertical="top" textRotation="0" wrapText="true" indent="0" shrinkToFit="false"/>
      <protection locked="true" hidden="false"/>
    </xf>
    <xf numFmtId="164" fontId="15" fillId="4"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left" vertical="top" textRotation="0" wrapText="true" indent="0" shrinkToFit="false"/>
      <protection locked="true" hidden="false"/>
    </xf>
    <xf numFmtId="164" fontId="18"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22"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22" fillId="6" borderId="0" xfId="0" applyFont="true" applyBorder="false" applyAlignment="true" applyProtection="false">
      <alignment horizontal="left" vertical="top" textRotation="0" wrapText="true" indent="0" shrinkToFit="false"/>
      <protection locked="true" hidden="false"/>
    </xf>
    <xf numFmtId="165" fontId="14" fillId="3"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9" fillId="4" borderId="0" xfId="0" applyFont="true" applyBorder="true" applyAlignment="true" applyProtection="false">
      <alignment horizontal="left" vertical="top" textRotation="0" wrapText="true" indent="0" shrinkToFit="false"/>
      <protection locked="true" hidden="false"/>
    </xf>
    <xf numFmtId="164" fontId="14" fillId="3" borderId="0" xfId="0" applyFont="true" applyBorder="true" applyAlignment="true" applyProtection="false">
      <alignment horizontal="left" vertical="top" textRotation="0" wrapText="true" indent="0" shrinkToFit="false"/>
      <protection locked="true" hidden="false"/>
    </xf>
    <xf numFmtId="164" fontId="24" fillId="5" borderId="1" xfId="0" applyFont="true" applyBorder="true" applyAlignment="true" applyProtection="false">
      <alignment horizontal="center" vertical="center" textRotation="0" wrapText="tru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6" fontId="10" fillId="2" borderId="0" xfId="0" applyFont="true" applyBorder="fals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10" fillId="3" borderId="1" xfId="0" applyFont="true" applyBorder="true" applyAlignment="true" applyProtection="false">
      <alignment horizontal="center" vertical="center" textRotation="0" wrapText="true" indent="0" shrinkToFit="false"/>
      <protection locked="true" hidden="false"/>
    </xf>
    <xf numFmtId="168" fontId="10" fillId="2" borderId="0" xfId="0" applyFont="true" applyBorder="false" applyAlignment="true" applyProtection="false">
      <alignment horizontal="center" vertical="center" textRotation="0" wrapText="true" indent="0" shrinkToFit="false"/>
      <protection locked="true" hidden="false"/>
    </xf>
    <xf numFmtId="164" fontId="10" fillId="2" borderId="1" xfId="0" applyFont="true" applyBorder="true" applyAlignment="true" applyProtection="false">
      <alignment horizontal="general" vertical="bottom" textRotation="0" wrapText="false" indent="0" shrinkToFit="false"/>
      <protection locked="true" hidden="false"/>
    </xf>
    <xf numFmtId="169" fontId="10" fillId="0" borderId="1"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center" vertical="center" textRotation="0" wrapText="true" indent="0" shrinkToFit="false"/>
      <protection locked="true" hidden="false"/>
    </xf>
    <xf numFmtId="168" fontId="14" fillId="3" borderId="1" xfId="0" applyFont="true" applyBorder="true" applyAlignment="true" applyProtection="false">
      <alignment horizontal="center" vertical="center" textRotation="0" wrapText="true" indent="0" shrinkToFit="false"/>
      <protection locked="true" hidden="false"/>
    </xf>
    <xf numFmtId="170" fontId="10" fillId="0" borderId="1" xfId="0" applyFont="true" applyBorder="true" applyAlignment="true" applyProtection="false">
      <alignment horizontal="center" vertical="center" textRotation="0" wrapText="true" indent="0" shrinkToFit="false"/>
      <protection locked="true" hidden="false"/>
    </xf>
    <xf numFmtId="170" fontId="10" fillId="3"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C6E0B4"/>
        </patternFill>
      </fill>
    </dxf>
    <dxf>
      <fill>
        <patternFill>
          <bgColor rgb="FFF4A9A9"/>
        </patternFill>
      </fill>
    </dxf>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D6336C"/>
      <rgbColor rgb="FFFFF9C4"/>
      <rgbColor rgb="FFF1F3F5"/>
      <rgbColor rgb="FF660066"/>
      <rgbColor rgb="FFF783AC"/>
      <rgbColor rgb="FF0066CC"/>
      <rgbColor rgb="FFFCE4EC"/>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4A9A9"/>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70"/>
    <col collapsed="false" customWidth="true" hidden="false" outlineLevel="0" max="4" min="4" style="1" width="3"/>
  </cols>
  <sheetData>
    <row r="2" customFormat="false" ht="19.5" hidden="false" customHeight="true" outlineLevel="0" collapsed="false">
      <c r="B2" s="2" t="s">
        <v>0</v>
      </c>
      <c r="C2" s="2"/>
    </row>
    <row r="3" customFormat="false" ht="16.5" hidden="false" customHeight="true" outlineLevel="0" collapsed="false">
      <c r="B3" s="3" t="s">
        <v>1</v>
      </c>
    </row>
    <row r="5" customFormat="false" ht="15" hidden="false" customHeight="true" outlineLevel="0" collapsed="false">
      <c r="B5" s="4" t="s">
        <v>2</v>
      </c>
      <c r="C5" s="5"/>
    </row>
    <row r="6" customFormat="false" ht="39.75" hidden="false" customHeight="true" outlineLevel="0" collapsed="false">
      <c r="B6" s="6" t="s">
        <v>3</v>
      </c>
      <c r="C6" s="7" t="s">
        <v>4</v>
      </c>
    </row>
    <row r="7" customFormat="false" ht="39.75" hidden="false" customHeight="true" outlineLevel="0" collapsed="false">
      <c r="B7" s="6" t="s">
        <v>5</v>
      </c>
      <c r="C7" s="7" t="s">
        <v>6</v>
      </c>
    </row>
    <row r="8" customFormat="false" ht="39.75" hidden="false" customHeight="true" outlineLevel="0" collapsed="false">
      <c r="B8" s="6" t="s">
        <v>7</v>
      </c>
      <c r="C8" s="7" t="s">
        <v>8</v>
      </c>
    </row>
    <row r="9" customFormat="false" ht="15" hidden="false" customHeight="true" outlineLevel="0" collapsed="false">
      <c r="B9" s="8" t="s">
        <v>3</v>
      </c>
    </row>
    <row r="11" customFormat="false" ht="15" hidden="false" customHeight="true" outlineLevel="0" collapsed="false">
      <c r="B11" s="4" t="s">
        <v>9</v>
      </c>
      <c r="C11" s="5"/>
    </row>
    <row r="12" customFormat="false" ht="15" hidden="false" customHeight="true" outlineLevel="0" collapsed="false">
      <c r="B12" s="6" t="s">
        <v>10</v>
      </c>
      <c r="C12" s="7" t="s">
        <v>11</v>
      </c>
    </row>
    <row r="13" customFormat="false" ht="15" hidden="false" customHeight="true" outlineLevel="0" collapsed="false">
      <c r="B13" s="9" t="s">
        <v>12</v>
      </c>
      <c r="C13" s="7" t="s">
        <v>13</v>
      </c>
    </row>
    <row r="14" customFormat="false" ht="15" hidden="false" customHeight="true" outlineLevel="0" collapsed="false">
      <c r="B14" s="6" t="s">
        <v>14</v>
      </c>
      <c r="C14" s="7" t="s">
        <v>15</v>
      </c>
    </row>
    <row r="15" customFormat="false" ht="15" hidden="false" customHeight="true" outlineLevel="0" collapsed="false">
      <c r="B15" s="6" t="s">
        <v>16</v>
      </c>
      <c r="C15" s="7" t="s">
        <v>17</v>
      </c>
    </row>
    <row r="16" customFormat="false" ht="15" hidden="false" customHeight="true" outlineLevel="0" collapsed="false">
      <c r="B16" s="9" t="s">
        <v>18</v>
      </c>
      <c r="C16" s="7" t="s">
        <v>19</v>
      </c>
    </row>
    <row r="17" customFormat="false" ht="15" hidden="false" customHeight="true" outlineLevel="0" collapsed="false">
      <c r="B17" s="6" t="s">
        <v>20</v>
      </c>
      <c r="C17" s="7" t="s">
        <v>21</v>
      </c>
    </row>
    <row r="18" customFormat="false" ht="15" hidden="false" customHeight="true" outlineLevel="0" collapsed="false">
      <c r="B18" s="6" t="s">
        <v>22</v>
      </c>
      <c r="C18" s="7" t="s">
        <v>23</v>
      </c>
    </row>
    <row r="19" customFormat="false" ht="15" hidden="false" customHeight="true" outlineLevel="0" collapsed="false">
      <c r="B19" s="6" t="s">
        <v>24</v>
      </c>
      <c r="C19" s="7" t="s">
        <v>25</v>
      </c>
    </row>
    <row r="20" customFormat="false" ht="15" hidden="false" customHeight="true" outlineLevel="0" collapsed="false">
      <c r="B20" s="6" t="s">
        <v>26</v>
      </c>
      <c r="C20" s="7" t="s">
        <v>27</v>
      </c>
    </row>
    <row r="21" customFormat="false" ht="15" hidden="false" customHeight="true" outlineLevel="0" collapsed="false">
      <c r="B21" s="9" t="s">
        <v>28</v>
      </c>
      <c r="C21" s="10" t="s">
        <v>29</v>
      </c>
    </row>
    <row r="22" customFormat="false" ht="15" hidden="false" customHeight="true" outlineLevel="0" collapsed="false">
      <c r="B22" s="6" t="s">
        <v>30</v>
      </c>
      <c r="C22" s="7" t="s">
        <v>31</v>
      </c>
    </row>
    <row r="23" customFormat="false" ht="15" hidden="false" customHeight="false" outlineLevel="0" collapsed="false">
      <c r="B23" s="11" t="s">
        <v>32</v>
      </c>
      <c r="C23" s="12"/>
    </row>
    <row r="24" customFormat="false" ht="27.75" hidden="false" customHeight="true" outlineLevel="0" collapsed="false">
      <c r="B24" s="13" t="s">
        <v>33</v>
      </c>
      <c r="C24" s="14" t="s">
        <v>34</v>
      </c>
    </row>
    <row r="25" customFormat="false" ht="27.75" hidden="false" customHeight="true" outlineLevel="0" collapsed="false">
      <c r="B25" s="13" t="s">
        <v>35</v>
      </c>
      <c r="C25" s="14" t="s">
        <v>36</v>
      </c>
    </row>
    <row r="26" customFormat="false" ht="27.75" hidden="false" customHeight="true" outlineLevel="0" collapsed="false">
      <c r="B26" s="13" t="s">
        <v>37</v>
      </c>
      <c r="C26" s="10" t="s">
        <v>38</v>
      </c>
    </row>
    <row r="27" customFormat="false" ht="27.75" hidden="false" customHeight="true" outlineLevel="0" collapsed="false">
      <c r="B27" s="13" t="s">
        <v>39</v>
      </c>
      <c r="C27" s="14" t="s">
        <v>40</v>
      </c>
    </row>
    <row r="28" customFormat="false" ht="27.75" hidden="false" customHeight="true" outlineLevel="0" collapsed="false">
      <c r="B28" s="13" t="s">
        <v>41</v>
      </c>
      <c r="C28" s="14" t="s">
        <v>42</v>
      </c>
    </row>
    <row r="29" customFormat="false" ht="27.75" hidden="false" customHeight="true" outlineLevel="0" collapsed="false">
      <c r="B29" s="13" t="s">
        <v>43</v>
      </c>
      <c r="C29" s="14" t="s">
        <v>44</v>
      </c>
    </row>
    <row r="30" customFormat="false" ht="27.75" hidden="false" customHeight="true" outlineLevel="0" collapsed="false">
      <c r="B30" s="13" t="s">
        <v>45</v>
      </c>
      <c r="C30" s="10" t="s">
        <v>46</v>
      </c>
    </row>
    <row r="31" customFormat="false" ht="27.75" hidden="false" customHeight="true" outlineLevel="0" collapsed="false">
      <c r="B31" s="13" t="s">
        <v>47</v>
      </c>
      <c r="C31" s="14" t="s">
        <v>48</v>
      </c>
    </row>
    <row r="33" customFormat="false" ht="15" hidden="false" customHeight="false" outlineLevel="0" collapsed="false">
      <c r="B33" s="11" t="s">
        <v>49</v>
      </c>
      <c r="C33" s="12"/>
    </row>
    <row r="34" customFormat="false" ht="27.75" hidden="false" customHeight="true" outlineLevel="0" collapsed="false">
      <c r="B34" s="13" t="s">
        <v>22</v>
      </c>
      <c r="C34" s="14" t="s">
        <v>50</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0"/>
    <col collapsed="false" customWidth="true" hidden="false" outlineLevel="0" max="4" min="3" style="1" width="22"/>
  </cols>
  <sheetData>
    <row r="1" customFormat="false" ht="19.5" hidden="false" customHeight="true" outlineLevel="0" collapsed="false">
      <c r="A1" s="2" t="s">
        <v>51</v>
      </c>
      <c r="B1" s="2"/>
      <c r="C1" s="2"/>
      <c r="D1" s="2"/>
    </row>
    <row r="3" customFormat="false" ht="15" hidden="false" customHeight="true" outlineLevel="0" collapsed="false">
      <c r="A3" s="15" t="s">
        <v>52</v>
      </c>
      <c r="B3" s="16"/>
      <c r="C3" s="16"/>
      <c r="D3" s="16"/>
    </row>
    <row r="4" customFormat="false" ht="15" hidden="false" customHeight="true" outlineLevel="0" collapsed="false">
      <c r="A4" s="15" t="s">
        <v>53</v>
      </c>
      <c r="B4" s="16"/>
      <c r="C4" s="16"/>
      <c r="D4" s="16"/>
    </row>
    <row r="5" customFormat="false" ht="15" hidden="false" customHeight="true" outlineLevel="0" collapsed="false">
      <c r="A5" s="15" t="s">
        <v>54</v>
      </c>
      <c r="B5" s="16"/>
      <c r="C5" s="16"/>
      <c r="D5" s="16"/>
    </row>
    <row r="6" customFormat="false" ht="15" hidden="false" customHeight="true" outlineLevel="0" collapsed="false">
      <c r="A6" s="15" t="s">
        <v>55</v>
      </c>
      <c r="B6" s="16"/>
      <c r="C6" s="16"/>
      <c r="D6" s="16"/>
    </row>
    <row r="7" customFormat="false" ht="15" hidden="false" customHeight="true" outlineLevel="0" collapsed="false">
      <c r="A7" s="15" t="s">
        <v>56</v>
      </c>
      <c r="B7" s="16"/>
      <c r="C7" s="16"/>
      <c r="D7" s="16"/>
    </row>
    <row r="8" customFormat="false" ht="30" hidden="false" customHeight="true" outlineLevel="0" collapsed="false">
      <c r="A8" s="15" t="s">
        <v>57</v>
      </c>
      <c r="B8" s="17"/>
      <c r="C8" s="17"/>
      <c r="D8" s="17"/>
    </row>
    <row r="9" customFormat="false" ht="15" hidden="false" customHeight="true" outlineLevel="0" collapsed="false">
      <c r="A9" s="15" t="s">
        <v>58</v>
      </c>
      <c r="B9" s="16"/>
      <c r="C9" s="16"/>
      <c r="D9" s="16"/>
    </row>
    <row r="10" customFormat="false" ht="15" hidden="false" customHeight="true" outlineLevel="0" collapsed="false">
      <c r="A10" s="15" t="s">
        <v>59</v>
      </c>
      <c r="B10" s="16"/>
      <c r="C10" s="16"/>
      <c r="D10" s="16"/>
    </row>
    <row r="12" customFormat="false" ht="15" hidden="false" customHeight="true" outlineLevel="0" collapsed="false">
      <c r="A12" s="18" t="s">
        <v>60</v>
      </c>
      <c r="B12" s="18"/>
      <c r="C12" s="18"/>
      <c r="D12" s="18"/>
    </row>
    <row r="13" customFormat="false" ht="77.25" hidden="false" customHeight="true" outlineLevel="0" collapsed="false">
      <c r="A13" s="19" t="s">
        <v>61</v>
      </c>
    </row>
    <row r="14" customFormat="false" ht="16.5" hidden="false" customHeight="true" outlineLevel="0" collapsed="false">
      <c r="A14" s="20" t="s">
        <v>62</v>
      </c>
      <c r="B14" s="20" t="s">
        <v>63</v>
      </c>
      <c r="C14" s="20" t="s">
        <v>64</v>
      </c>
      <c r="D14" s="20"/>
    </row>
    <row r="15" customFormat="false" ht="15" hidden="false" customHeight="true" outlineLevel="0" collapsed="false">
      <c r="A15" s="21" t="s">
        <v>65</v>
      </c>
      <c r="B15" s="22"/>
      <c r="C15" s="16"/>
      <c r="D15" s="16"/>
    </row>
    <row r="16" customFormat="false" ht="15" hidden="false" customHeight="true" outlineLevel="0" collapsed="false">
      <c r="A16" s="21" t="s">
        <v>66</v>
      </c>
      <c r="B16" s="22"/>
      <c r="C16" s="16"/>
      <c r="D16" s="16"/>
    </row>
    <row r="17" customFormat="false" ht="15" hidden="false" customHeight="true" outlineLevel="0" collapsed="false">
      <c r="A17" s="21" t="s">
        <v>67</v>
      </c>
      <c r="B17" s="22"/>
      <c r="C17" s="16"/>
      <c r="D17" s="16"/>
    </row>
    <row r="19" customFormat="false" ht="15" hidden="false" customHeight="true" outlineLevel="0" collapsed="false">
      <c r="A19" s="23" t="s">
        <v>68</v>
      </c>
      <c r="B19" s="23"/>
      <c r="C19" s="23"/>
      <c r="D19" s="23"/>
    </row>
    <row r="20" customFormat="false" ht="15" hidden="false" customHeight="true" outlineLevel="0" collapsed="false">
      <c r="A20" s="15" t="s">
        <v>69</v>
      </c>
      <c r="B20" s="16"/>
      <c r="C20" s="16"/>
      <c r="D20" s="16"/>
    </row>
  </sheetData>
  <mergeCells count="15">
    <mergeCell ref="A1:D1"/>
    <mergeCell ref="B3:D3"/>
    <mergeCell ref="B4:D4"/>
    <mergeCell ref="B5:D5"/>
    <mergeCell ref="B6:D6"/>
    <mergeCell ref="B7:D7"/>
    <mergeCell ref="B8:D8"/>
    <mergeCell ref="B9:D9"/>
    <mergeCell ref="B10:D10"/>
    <mergeCell ref="A12:D12"/>
    <mergeCell ref="C15:D15"/>
    <mergeCell ref="C16:D16"/>
    <mergeCell ref="C17:D17"/>
    <mergeCell ref="A19:D19"/>
    <mergeCell ref="B20:D20"/>
  </mergeCells>
  <dataValidations count="2">
    <dataValidation allowBlank="true" errorStyle="stop" operator="between" showDropDown="false" showErrorMessage="false" showInputMessage="false" sqref="B15:B17" type="list">
      <formula1>"1,2,3"</formula1>
      <formula2>0</formula2>
    </dataValidation>
    <dataValidation allowBlank="true" errorStyle="stop" operator="between" showDropDown="false" showErrorMessage="false" showInputMessage="false" sqref="B20" type="list">
      <formula1>"予測型（ウォーターフォール）,適応型（アジャイル）,ハイブリッド型"</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4" min="3" style="1" width="24"/>
    <col collapsed="false" customWidth="true" hidden="false" outlineLevel="0" max="5" min="5" style="1" width="14"/>
    <col collapsed="false" customWidth="true" hidden="false" outlineLevel="0" max="6" min="6" style="1" width="30"/>
  </cols>
  <sheetData>
    <row r="1" customFormat="false" ht="23.25" hidden="false" customHeight="true" outlineLevel="0" collapsed="false">
      <c r="A1" s="24" t="s">
        <v>70</v>
      </c>
      <c r="B1" s="24"/>
      <c r="C1" s="24"/>
      <c r="D1" s="24"/>
      <c r="E1" s="24"/>
      <c r="F1" s="24"/>
    </row>
    <row r="2" customFormat="false" ht="15" hidden="false" customHeight="true" outlineLevel="0" collapsed="false">
      <c r="A2" s="25" t="s">
        <v>71</v>
      </c>
      <c r="B2" s="25"/>
      <c r="C2" s="25"/>
      <c r="D2" s="25"/>
      <c r="E2" s="25"/>
      <c r="F2" s="25"/>
    </row>
    <row r="4" customFormat="false" ht="16.5" hidden="false" customHeight="true" outlineLevel="0" collapsed="false">
      <c r="A4" s="20" t="s">
        <v>62</v>
      </c>
      <c r="B4" s="20" t="s">
        <v>72</v>
      </c>
      <c r="C4" s="20" t="s">
        <v>73</v>
      </c>
      <c r="D4" s="20" t="s">
        <v>74</v>
      </c>
      <c r="E4" s="20" t="s">
        <v>75</v>
      </c>
      <c r="F4" s="20" t="s">
        <v>76</v>
      </c>
    </row>
    <row r="5" customFormat="false" ht="31.5" hidden="false" customHeight="true" outlineLevel="0" collapsed="false">
      <c r="A5" s="15" t="s">
        <v>77</v>
      </c>
      <c r="B5" s="17"/>
      <c r="C5" s="17"/>
      <c r="D5" s="17"/>
      <c r="E5" s="26" t="str">
        <f aca="false">IF(①プロジェクト概要!B7="","",①プロジェクト概要!B7)</f>
        <v/>
      </c>
      <c r="F5" s="17"/>
    </row>
    <row r="6" customFormat="false" ht="31.5" hidden="false" customHeight="true" outlineLevel="0" collapsed="false">
      <c r="A6" s="15" t="s">
        <v>66</v>
      </c>
      <c r="B6" s="17"/>
      <c r="C6" s="17"/>
      <c r="D6" s="17"/>
      <c r="E6" s="26" t="str">
        <f aca="false">IF(①プロジェクト概要!B8="","",①プロジェクト概要!B8)</f>
        <v/>
      </c>
      <c r="F6" s="17"/>
    </row>
    <row r="7" customFormat="false" ht="31.5" hidden="false" customHeight="true" outlineLevel="0" collapsed="false">
      <c r="A7" s="15" t="s">
        <v>78</v>
      </c>
      <c r="B7" s="17"/>
      <c r="C7" s="17"/>
      <c r="D7" s="17"/>
      <c r="E7" s="26" t="str">
        <f aca="false">IF(①プロジェクト概要!B9="","",①プロジェクト概要!B9)</f>
        <v/>
      </c>
      <c r="F7" s="17"/>
    </row>
    <row r="9" customFormat="false" ht="64.5" hidden="false" customHeight="true" outlineLevel="0" collapsed="false">
      <c r="A9" s="19" t="s">
        <v>79</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0"/>
    <col collapsed="false" customWidth="true" hidden="false" outlineLevel="0" max="3" min="3" style="1" width="22"/>
    <col collapsed="false" customWidth="true" hidden="false" outlineLevel="0" max="4" min="4" style="1" width="12"/>
    <col collapsed="false" customWidth="true" hidden="false" outlineLevel="0" max="5" min="5" style="1" width="16"/>
    <col collapsed="false" customWidth="true" hidden="false" outlineLevel="0" max="6" min="6" style="1" width="14"/>
    <col collapsed="false" customWidth="true" hidden="false" outlineLevel="0" max="7" min="7" style="1" width="22"/>
    <col collapsed="false" customWidth="true" hidden="false" outlineLevel="0" max="8" min="8" style="1" width="24"/>
  </cols>
  <sheetData>
    <row r="1" customFormat="false" ht="19.5" hidden="false" customHeight="true" outlineLevel="0" collapsed="false">
      <c r="A1" s="2" t="s">
        <v>80</v>
      </c>
      <c r="B1" s="2"/>
      <c r="C1" s="2"/>
      <c r="D1" s="2"/>
      <c r="E1" s="2"/>
      <c r="F1" s="2"/>
      <c r="G1" s="2"/>
      <c r="H1" s="2"/>
    </row>
    <row r="2" customFormat="false" ht="15" hidden="false" customHeight="true" outlineLevel="0" collapsed="false">
      <c r="A2" s="27" t="s">
        <v>81</v>
      </c>
      <c r="B2" s="27"/>
      <c r="C2" s="27"/>
      <c r="D2" s="27"/>
      <c r="E2" s="27"/>
      <c r="F2" s="27"/>
      <c r="G2" s="27"/>
      <c r="H2" s="27"/>
    </row>
    <row r="4" customFormat="false" ht="33.75" hidden="false" customHeight="true" outlineLevel="0" collapsed="false">
      <c r="A4" s="20" t="s">
        <v>82</v>
      </c>
      <c r="B4" s="20" t="s">
        <v>83</v>
      </c>
      <c r="C4" s="20" t="s">
        <v>84</v>
      </c>
      <c r="D4" s="20" t="s">
        <v>85</v>
      </c>
      <c r="E4" s="20" t="s">
        <v>86</v>
      </c>
      <c r="F4" s="20" t="s">
        <v>87</v>
      </c>
      <c r="G4" s="20" t="s">
        <v>88</v>
      </c>
      <c r="H4" s="20" t="s">
        <v>89</v>
      </c>
    </row>
    <row r="5" customFormat="false" ht="29.25" hidden="false" customHeight="true" outlineLevel="0" collapsed="false">
      <c r="A5" s="28" t="s">
        <v>90</v>
      </c>
      <c r="B5" s="17"/>
      <c r="C5" s="17"/>
      <c r="D5" s="17"/>
      <c r="E5" s="17"/>
      <c r="F5" s="17"/>
      <c r="G5" s="17"/>
      <c r="H5" s="17"/>
    </row>
    <row r="6" customFormat="false" ht="29.25" hidden="false" customHeight="true" outlineLevel="0" collapsed="false">
      <c r="A6" s="28" t="s">
        <v>91</v>
      </c>
      <c r="B6" s="17"/>
      <c r="C6" s="17"/>
      <c r="D6" s="17"/>
      <c r="E6" s="17"/>
      <c r="F6" s="17"/>
      <c r="G6" s="17"/>
      <c r="H6" s="17"/>
    </row>
    <row r="7" customFormat="false" ht="29.25" hidden="false" customHeight="true" outlineLevel="0" collapsed="false">
      <c r="A7" s="28" t="s">
        <v>92</v>
      </c>
      <c r="B7" s="17"/>
      <c r="C7" s="17"/>
      <c r="D7" s="17"/>
      <c r="E7" s="17"/>
      <c r="F7" s="17"/>
      <c r="G7" s="17"/>
      <c r="H7" s="17"/>
    </row>
    <row r="8" customFormat="false" ht="15" hidden="false" customHeight="true" outlineLevel="0" collapsed="false">
      <c r="A8" s="28" t="s">
        <v>93</v>
      </c>
      <c r="B8" s="17"/>
      <c r="C8" s="17"/>
      <c r="D8" s="17"/>
      <c r="E8" s="17"/>
      <c r="F8" s="17"/>
      <c r="G8" s="17"/>
      <c r="H8" s="17"/>
    </row>
    <row r="9" customFormat="false" ht="15" hidden="false" customHeight="true" outlineLevel="0" collapsed="false">
      <c r="A9" s="28" t="s">
        <v>94</v>
      </c>
      <c r="B9" s="17"/>
      <c r="C9" s="17"/>
      <c r="D9" s="17"/>
      <c r="E9" s="17"/>
      <c r="F9" s="17"/>
      <c r="G9" s="17"/>
      <c r="H9" s="17"/>
    </row>
    <row r="10" customFormat="false" ht="15" hidden="false" customHeight="true" outlineLevel="0" collapsed="false">
      <c r="A10" s="28" t="s">
        <v>95</v>
      </c>
      <c r="B10" s="17"/>
      <c r="C10" s="17"/>
      <c r="D10" s="17"/>
      <c r="E10" s="17"/>
      <c r="F10" s="17"/>
      <c r="G10" s="17"/>
      <c r="H10" s="17"/>
    </row>
    <row r="11" customFormat="false" ht="15" hidden="false" customHeight="true" outlineLevel="0" collapsed="false">
      <c r="A11" s="28" t="s">
        <v>96</v>
      </c>
      <c r="B11" s="17"/>
      <c r="C11" s="17"/>
      <c r="D11" s="17"/>
      <c r="E11" s="17"/>
      <c r="F11" s="17"/>
      <c r="G11" s="17"/>
      <c r="H11" s="17"/>
    </row>
    <row r="12" customFormat="false" ht="15" hidden="false" customHeight="true" outlineLevel="0" collapsed="false">
      <c r="A12" s="28" t="s">
        <v>97</v>
      </c>
      <c r="B12" s="17"/>
      <c r="C12" s="17"/>
      <c r="D12" s="17"/>
      <c r="E12" s="17"/>
      <c r="F12" s="17"/>
      <c r="G12" s="17"/>
      <c r="H12" s="17"/>
    </row>
    <row r="13" customFormat="false" ht="15" hidden="false" customHeight="true" outlineLevel="0" collapsed="false">
      <c r="A13" s="28" t="s">
        <v>98</v>
      </c>
      <c r="B13" s="17"/>
      <c r="C13" s="17"/>
      <c r="D13" s="17"/>
      <c r="E13" s="17"/>
      <c r="F13" s="17"/>
      <c r="G13" s="17"/>
      <c r="H13" s="17"/>
    </row>
    <row r="14" customFormat="false" ht="15" hidden="false" customHeight="true" outlineLevel="0" collapsed="false">
      <c r="A14" s="28" t="s">
        <v>99</v>
      </c>
      <c r="B14" s="17"/>
      <c r="C14" s="17"/>
      <c r="D14" s="17"/>
      <c r="E14" s="17"/>
      <c r="F14" s="17"/>
      <c r="G14" s="17"/>
      <c r="H14" s="17"/>
    </row>
    <row r="15" customFormat="false" ht="15" hidden="false" customHeight="true" outlineLevel="0" collapsed="false">
      <c r="A15" s="29"/>
      <c r="B15" s="16"/>
      <c r="C15" s="16"/>
      <c r="D15" s="16"/>
      <c r="E15" s="16"/>
      <c r="F15" s="16"/>
      <c r="G15" s="16"/>
      <c r="H15" s="16"/>
    </row>
    <row r="16" customFormat="false" ht="15" hidden="false" customHeight="true" outlineLevel="0" collapsed="false">
      <c r="A16" s="29"/>
      <c r="B16" s="16"/>
      <c r="C16" s="16"/>
      <c r="D16" s="16"/>
      <c r="E16" s="16"/>
      <c r="F16" s="16"/>
      <c r="G16" s="16"/>
      <c r="H16" s="16"/>
    </row>
    <row r="17" customFormat="false" ht="15" hidden="false" customHeight="true" outlineLevel="0" collapsed="false">
      <c r="A17" s="29"/>
      <c r="B17" s="16"/>
      <c r="C17" s="16"/>
      <c r="D17" s="16"/>
      <c r="E17" s="16"/>
      <c r="F17" s="16"/>
      <c r="G17" s="16"/>
      <c r="H17" s="16"/>
    </row>
    <row r="18" customFormat="false" ht="15" hidden="false" customHeight="true" outlineLevel="0" collapsed="false">
      <c r="A18" s="29"/>
      <c r="B18" s="16"/>
      <c r="C18" s="16"/>
      <c r="D18" s="16"/>
      <c r="E18" s="16"/>
      <c r="F18" s="16"/>
      <c r="G18" s="16"/>
      <c r="H18" s="16"/>
    </row>
    <row r="19" customFormat="false" ht="15" hidden="false" customHeight="true" outlineLevel="0" collapsed="false">
      <c r="A19" s="29"/>
      <c r="B19" s="16"/>
      <c r="C19" s="16"/>
      <c r="D19" s="16"/>
      <c r="E19" s="16"/>
      <c r="F19" s="16"/>
      <c r="G19" s="16"/>
      <c r="H19" s="16"/>
    </row>
  </sheetData>
  <mergeCells count="2">
    <mergeCell ref="A1:H1"/>
    <mergeCell ref="A2:H2"/>
  </mergeCells>
  <dataValidations count="2">
    <dataValidation allowBlank="true" errorStyle="stop" operator="between" showDropDown="false" showErrorMessage="false" showInputMessage="false" sqref="D5:D14" type="list">
      <formula1>"高,中,低"</formula1>
      <formula2>0</formula2>
    </dataValidation>
    <dataValidation allowBlank="true" errorStyle="stop" operator="between" showDropDown="false" showErrorMessage="false" showInputMessage="false" sqref="F5:F14" type="list">
      <formula1>"随時,毎日,週次,隔週,月次,マイルストーン時のみ"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55"/>
  </cols>
  <sheetData>
    <row r="1" customFormat="false" ht="23.25" hidden="false" customHeight="true" outlineLevel="0" collapsed="false">
      <c r="A1" s="2" t="s">
        <v>100</v>
      </c>
      <c r="B1" s="2"/>
    </row>
    <row r="2" customFormat="false" ht="26.25" hidden="false" customHeight="true" outlineLevel="0" collapsed="false">
      <c r="A2" s="25" t="s">
        <v>101</v>
      </c>
      <c r="B2" s="25"/>
    </row>
    <row r="4" customFormat="false" ht="19.5" hidden="false" customHeight="true" outlineLevel="0" collapsed="false">
      <c r="A4" s="30" t="s">
        <v>102</v>
      </c>
    </row>
    <row r="5" customFormat="false" ht="43.5" hidden="false" customHeight="true" outlineLevel="0" collapsed="false">
      <c r="A5" s="31" t="s">
        <v>103</v>
      </c>
      <c r="B5" s="32" t="s">
        <v>104</v>
      </c>
    </row>
    <row r="6" customFormat="false" ht="69.75" hidden="false" customHeight="true" outlineLevel="0" collapsed="false">
      <c r="A6" s="33" t="s">
        <v>105</v>
      </c>
      <c r="B6" s="17"/>
    </row>
    <row r="8" customFormat="false" ht="19.5" hidden="false" customHeight="true" outlineLevel="0" collapsed="false">
      <c r="A8" s="30" t="s">
        <v>106</v>
      </c>
    </row>
    <row r="9" customFormat="false" ht="43.5" hidden="false" customHeight="true" outlineLevel="0" collapsed="false">
      <c r="A9" s="31" t="s">
        <v>103</v>
      </c>
      <c r="B9" s="32" t="s">
        <v>107</v>
      </c>
    </row>
    <row r="10" customFormat="false" ht="69.75" hidden="false" customHeight="true" outlineLevel="0" collapsed="false">
      <c r="A10" s="33" t="s">
        <v>105</v>
      </c>
      <c r="B10" s="17"/>
    </row>
    <row r="12" customFormat="false" ht="19.5" hidden="false" customHeight="true" outlineLevel="0" collapsed="false">
      <c r="A12" s="30" t="s">
        <v>108</v>
      </c>
    </row>
    <row r="13" customFormat="false" ht="43.5" hidden="false" customHeight="true" outlineLevel="0" collapsed="false">
      <c r="A13" s="31" t="s">
        <v>103</v>
      </c>
      <c r="B13" s="34" t="s">
        <v>109</v>
      </c>
    </row>
    <row r="14" customFormat="false" ht="69.75" hidden="false" customHeight="true" outlineLevel="0" collapsed="false">
      <c r="A14" s="33" t="s">
        <v>105</v>
      </c>
      <c r="B14" s="17"/>
    </row>
  </sheetData>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8"/>
    <col collapsed="false" customWidth="true" hidden="false" outlineLevel="0" max="3" min="3" style="1" width="14"/>
    <col collapsed="false" customWidth="true" hidden="false" outlineLevel="0" max="6" min="4" style="1" width="12"/>
    <col collapsed="false" customWidth="true" hidden="false" outlineLevel="0" max="7" min="7" style="1" width="14"/>
    <col collapsed="false" customWidth="true" hidden="false" outlineLevel="0" max="8" min="8" style="1" width="12"/>
    <col collapsed="false" customWidth="true" hidden="false" outlineLevel="0" max="9" min="9" style="1" width="26"/>
  </cols>
  <sheetData>
    <row r="1" customFormat="false" ht="23.25" hidden="false" customHeight="true" outlineLevel="0" collapsed="false">
      <c r="A1" s="24" t="s">
        <v>110</v>
      </c>
      <c r="B1" s="24"/>
      <c r="C1" s="24"/>
      <c r="D1" s="24"/>
      <c r="E1" s="24"/>
      <c r="F1" s="24"/>
      <c r="G1" s="24"/>
      <c r="H1" s="24"/>
      <c r="I1" s="24"/>
    </row>
    <row r="2" customFormat="false" ht="15" hidden="false" customHeight="true" outlineLevel="0" collapsed="false">
      <c r="A2" s="25" t="s">
        <v>111</v>
      </c>
      <c r="B2" s="25"/>
      <c r="C2" s="25"/>
      <c r="D2" s="25"/>
      <c r="E2" s="25"/>
      <c r="F2" s="25"/>
      <c r="G2" s="25"/>
      <c r="H2" s="25"/>
      <c r="I2" s="25"/>
    </row>
    <row r="4" customFormat="false" ht="29.25" hidden="false" customHeight="true" outlineLevel="0" collapsed="false">
      <c r="A4" s="20" t="s">
        <v>112</v>
      </c>
      <c r="B4" s="20" t="s">
        <v>113</v>
      </c>
      <c r="C4" s="20" t="s">
        <v>114</v>
      </c>
      <c r="D4" s="20" t="s">
        <v>55</v>
      </c>
      <c r="E4" s="20" t="s">
        <v>115</v>
      </c>
      <c r="F4" s="20" t="s">
        <v>116</v>
      </c>
      <c r="G4" s="20" t="s">
        <v>117</v>
      </c>
      <c r="H4" s="20" t="s">
        <v>118</v>
      </c>
      <c r="I4" s="20" t="s">
        <v>64</v>
      </c>
    </row>
    <row r="5" customFormat="false" ht="15" hidden="false" customHeight="true" outlineLevel="0" collapsed="false">
      <c r="A5" s="26" t="s">
        <v>119</v>
      </c>
      <c r="B5" s="17"/>
      <c r="C5" s="17"/>
      <c r="D5" s="17"/>
      <c r="E5" s="17"/>
      <c r="F5" s="22"/>
      <c r="G5" s="35"/>
      <c r="H5" s="17"/>
      <c r="I5" s="17"/>
    </row>
    <row r="6" customFormat="false" ht="15" hidden="false" customHeight="true" outlineLevel="0" collapsed="false">
      <c r="A6" s="26" t="s">
        <v>120</v>
      </c>
      <c r="B6" s="17"/>
      <c r="C6" s="17"/>
      <c r="D6" s="17"/>
      <c r="E6" s="17"/>
      <c r="F6" s="22"/>
      <c r="G6" s="35"/>
      <c r="H6" s="17"/>
      <c r="I6" s="17"/>
    </row>
    <row r="7" customFormat="false" ht="15" hidden="false" customHeight="true" outlineLevel="0" collapsed="false">
      <c r="A7" s="26" t="s">
        <v>121</v>
      </c>
      <c r="B7" s="17"/>
      <c r="C7" s="17"/>
      <c r="D7" s="17"/>
      <c r="E7" s="17"/>
      <c r="F7" s="22"/>
      <c r="G7" s="35"/>
      <c r="H7" s="17"/>
      <c r="I7" s="17"/>
    </row>
    <row r="8" customFormat="false" ht="15" hidden="false" customHeight="true" outlineLevel="0" collapsed="false">
      <c r="A8" s="26" t="s">
        <v>122</v>
      </c>
      <c r="B8" s="17"/>
      <c r="C8" s="17"/>
      <c r="D8" s="17"/>
      <c r="E8" s="17"/>
      <c r="F8" s="22"/>
      <c r="G8" s="35"/>
      <c r="H8" s="17"/>
      <c r="I8" s="17"/>
    </row>
    <row r="9" customFormat="false" ht="15" hidden="false" customHeight="true" outlineLevel="0" collapsed="false">
      <c r="A9" s="26" t="s">
        <v>123</v>
      </c>
      <c r="B9" s="17"/>
      <c r="C9" s="17"/>
      <c r="D9" s="17"/>
      <c r="E9" s="17"/>
      <c r="F9" s="22"/>
      <c r="G9" s="35"/>
      <c r="H9" s="17"/>
      <c r="I9" s="17"/>
    </row>
    <row r="10" customFormat="false" ht="15" hidden="false" customHeight="true" outlineLevel="0" collapsed="false">
      <c r="A10" s="26" t="s">
        <v>124</v>
      </c>
      <c r="B10" s="17"/>
      <c r="C10" s="17"/>
      <c r="D10" s="17"/>
      <c r="E10" s="17"/>
      <c r="F10" s="22"/>
      <c r="G10" s="35"/>
      <c r="H10" s="17"/>
      <c r="I10" s="17"/>
    </row>
    <row r="11" customFormat="false" ht="15" hidden="false" customHeight="true" outlineLevel="0" collapsed="false">
      <c r="A11" s="26" t="s">
        <v>125</v>
      </c>
      <c r="B11" s="17"/>
      <c r="C11" s="17"/>
      <c r="D11" s="17"/>
      <c r="E11" s="17"/>
      <c r="F11" s="22"/>
      <c r="G11" s="35"/>
      <c r="H11" s="17"/>
      <c r="I11" s="17"/>
    </row>
    <row r="12" customFormat="false" ht="15" hidden="false" customHeight="true" outlineLevel="0" collapsed="false">
      <c r="A12" s="26" t="s">
        <v>126</v>
      </c>
      <c r="B12" s="17"/>
      <c r="C12" s="17"/>
      <c r="D12" s="17"/>
      <c r="E12" s="17"/>
      <c r="F12" s="22"/>
      <c r="G12" s="35"/>
      <c r="H12" s="17"/>
      <c r="I12" s="17"/>
    </row>
    <row r="13" customFormat="false" ht="15" hidden="false" customHeight="true" outlineLevel="0" collapsed="false">
      <c r="A13" s="26" t="s">
        <v>127</v>
      </c>
      <c r="B13" s="17"/>
      <c r="C13" s="17"/>
      <c r="D13" s="17"/>
      <c r="E13" s="17"/>
      <c r="F13" s="22"/>
      <c r="G13" s="35"/>
      <c r="H13" s="17"/>
      <c r="I13" s="17"/>
    </row>
    <row r="14" customFormat="false" ht="15" hidden="false" customHeight="true" outlineLevel="0" collapsed="false">
      <c r="A14" s="26" t="s">
        <v>128</v>
      </c>
      <c r="B14" s="17"/>
      <c r="C14" s="17"/>
      <c r="D14" s="17"/>
      <c r="E14" s="17"/>
      <c r="F14" s="22"/>
      <c r="G14" s="35"/>
      <c r="H14" s="17"/>
      <c r="I14" s="17"/>
    </row>
    <row r="15" customFormat="false" ht="15" hidden="false" customHeight="true" outlineLevel="0" collapsed="false">
      <c r="A15" s="26" t="s">
        <v>129</v>
      </c>
      <c r="B15" s="17"/>
      <c r="C15" s="17"/>
      <c r="D15" s="17"/>
      <c r="E15" s="17"/>
      <c r="F15" s="22"/>
      <c r="G15" s="35"/>
      <c r="H15" s="17"/>
      <c r="I15" s="17"/>
    </row>
    <row r="16" customFormat="false" ht="15" hidden="false" customHeight="true" outlineLevel="0" collapsed="false">
      <c r="A16" s="26" t="s">
        <v>130</v>
      </c>
      <c r="B16" s="17"/>
      <c r="C16" s="17"/>
      <c r="D16" s="17"/>
      <c r="E16" s="17"/>
      <c r="F16" s="22"/>
      <c r="G16" s="35"/>
      <c r="H16" s="17"/>
      <c r="I16" s="17"/>
    </row>
    <row r="18" customFormat="false" ht="15" hidden="false" customHeight="true" outlineLevel="0" collapsed="false">
      <c r="A18" s="36" t="s">
        <v>131</v>
      </c>
      <c r="B18" s="36"/>
      <c r="C18" s="36"/>
      <c r="D18" s="36"/>
      <c r="E18" s="36"/>
      <c r="F18" s="36"/>
      <c r="G18" s="37" t="n">
        <f aca="false">IFERROR(AVERAGE(G5:G16),0)</f>
        <v>0</v>
      </c>
    </row>
    <row r="19" customFormat="false" ht="15" hidden="false" customHeight="true" outlineLevel="0" collapsed="false">
      <c r="A19" s="36" t="s">
        <v>132</v>
      </c>
      <c r="B19" s="36"/>
      <c r="C19" s="36"/>
      <c r="D19" s="36"/>
      <c r="E19" s="36"/>
      <c r="F19" s="36"/>
      <c r="G19" s="38" t="str">
        <f aca="false">COUNTIF(F5:F16,"完了")&amp;"/"&amp;COUNTA(A5:A16)</f>
        <v>0/12</v>
      </c>
    </row>
  </sheetData>
  <mergeCells count="4">
    <mergeCell ref="A1:I1"/>
    <mergeCell ref="A2:I2"/>
    <mergeCell ref="A18:F18"/>
    <mergeCell ref="A19:F19"/>
  </mergeCells>
  <conditionalFormatting sqref="F5:F16">
    <cfRule type="cellIs" priority="2" operator="equal" aboveAverage="0" equalAverage="0" bottom="0" percent="0" rank="0" text="" dxfId="0">
      <formula>"完了"</formula>
    </cfRule>
    <cfRule type="cellIs" priority="3" operator="equal" aboveAverage="0" equalAverage="0" bottom="0" percent="0" rank="0" text="" dxfId="1">
      <formula>"遅延"</formula>
    </cfRule>
    <cfRule type="cellIs" priority="4" operator="equal" aboveAverage="0" equalAverage="0" bottom="0" percent="0" rank="0" text="" dxfId="2">
      <formula>"対応中"</formula>
    </cfRule>
  </conditionalFormatting>
  <dataValidations count="1">
    <dataValidation allowBlank="true" errorStyle="stop" operator="between" showDropDown="false" showErrorMessage="false" showInputMessage="false" sqref="F5:F16" type="list">
      <formula1>"未着手,対応中,完了,遅延,保留"</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6"/>
    <col collapsed="false" customWidth="true" hidden="false" outlineLevel="0" max="3" min="3" style="1" width="26"/>
    <col collapsed="false" customWidth="true" hidden="false" outlineLevel="0" max="4" min="4" style="1" width="14"/>
    <col collapsed="false" customWidth="true" hidden="false" outlineLevel="0" max="5" min="5" style="1" width="26"/>
  </cols>
  <sheetData>
    <row r="1" customFormat="false" ht="19.5" hidden="false" customHeight="true" outlineLevel="0" collapsed="false">
      <c r="A1" s="2" t="s">
        <v>133</v>
      </c>
      <c r="B1" s="2"/>
      <c r="C1" s="2"/>
      <c r="D1" s="2"/>
      <c r="E1" s="2"/>
    </row>
    <row r="2" customFormat="false" ht="15" hidden="false" customHeight="true" outlineLevel="0" collapsed="false">
      <c r="A2" s="25" t="s">
        <v>134</v>
      </c>
      <c r="B2" s="25"/>
      <c r="C2" s="25"/>
      <c r="D2" s="25"/>
      <c r="E2" s="25"/>
    </row>
    <row r="4" customFormat="false" ht="15" hidden="false" customHeight="true" outlineLevel="0" collapsed="false">
      <c r="A4" s="23" t="s">
        <v>135</v>
      </c>
      <c r="B4" s="23"/>
      <c r="C4" s="23"/>
      <c r="D4" s="23"/>
      <c r="E4" s="23"/>
    </row>
    <row r="5" customFormat="false" ht="39" hidden="false" customHeight="true" outlineLevel="0" collapsed="false">
      <c r="A5" s="19" t="s">
        <v>136</v>
      </c>
    </row>
    <row r="6" customFormat="false" ht="32.25" hidden="false" customHeight="true" outlineLevel="0" collapsed="false">
      <c r="A6" s="20" t="s">
        <v>137</v>
      </c>
      <c r="B6" s="20" t="s">
        <v>138</v>
      </c>
      <c r="C6" s="20" t="s">
        <v>139</v>
      </c>
      <c r="D6" s="20" t="s">
        <v>140</v>
      </c>
      <c r="E6" s="20" t="s">
        <v>64</v>
      </c>
    </row>
    <row r="7" customFormat="false" ht="15" hidden="false" customHeight="true" outlineLevel="0" collapsed="false">
      <c r="A7" s="26" t="s">
        <v>141</v>
      </c>
      <c r="B7" s="17"/>
      <c r="C7" s="17"/>
      <c r="D7" s="22"/>
      <c r="E7" s="17"/>
    </row>
    <row r="8" customFormat="false" ht="15" hidden="false" customHeight="true" outlineLevel="0" collapsed="false">
      <c r="A8" s="26" t="s">
        <v>142</v>
      </c>
      <c r="B8" s="17"/>
      <c r="C8" s="17"/>
      <c r="D8" s="22"/>
      <c r="E8" s="17"/>
    </row>
    <row r="9" customFormat="false" ht="15" hidden="false" customHeight="true" outlineLevel="0" collapsed="false">
      <c r="A9" s="26" t="s">
        <v>143</v>
      </c>
      <c r="B9" s="17"/>
      <c r="C9" s="17"/>
      <c r="D9" s="22"/>
      <c r="E9" s="17"/>
    </row>
    <row r="10" customFormat="false" ht="15" hidden="false" customHeight="true" outlineLevel="0" collapsed="false">
      <c r="A10" s="26" t="s">
        <v>144</v>
      </c>
      <c r="B10" s="17"/>
      <c r="C10" s="17"/>
      <c r="D10" s="22"/>
      <c r="E10" s="17"/>
    </row>
    <row r="11" customFormat="false" ht="15" hidden="false" customHeight="true" outlineLevel="0" collapsed="false">
      <c r="A11" s="26" t="s">
        <v>145</v>
      </c>
      <c r="B11" s="17"/>
      <c r="C11" s="17"/>
      <c r="D11" s="22"/>
      <c r="E11" s="17"/>
    </row>
    <row r="13" customFormat="false" ht="15" hidden="false" customHeight="true" outlineLevel="0" collapsed="false">
      <c r="A13" s="23" t="s">
        <v>146</v>
      </c>
      <c r="B13" s="23"/>
      <c r="C13" s="23"/>
      <c r="D13" s="23"/>
      <c r="E13" s="23"/>
    </row>
    <row r="14" customFormat="false" ht="51.75" hidden="false" customHeight="true" outlineLevel="0" collapsed="false">
      <c r="A14" s="19" t="s">
        <v>147</v>
      </c>
    </row>
    <row r="15" customFormat="false" ht="16.5" hidden="false" customHeight="true" outlineLevel="0" collapsed="false">
      <c r="A15" s="20" t="s">
        <v>137</v>
      </c>
      <c r="B15" s="20" t="s">
        <v>148</v>
      </c>
      <c r="C15" s="20" t="s">
        <v>149</v>
      </c>
      <c r="D15" s="20" t="s">
        <v>150</v>
      </c>
      <c r="E15" s="20" t="s">
        <v>151</v>
      </c>
    </row>
    <row r="16" customFormat="false" ht="15" hidden="false" customHeight="true" outlineLevel="0" collapsed="false">
      <c r="A16" s="26" t="s">
        <v>152</v>
      </c>
      <c r="B16" s="17"/>
      <c r="C16" s="17"/>
      <c r="D16" s="22"/>
      <c r="E16" s="17"/>
    </row>
    <row r="17" customFormat="false" ht="15" hidden="false" customHeight="true" outlineLevel="0" collapsed="false">
      <c r="A17" s="26" t="s">
        <v>153</v>
      </c>
      <c r="B17" s="17"/>
      <c r="C17" s="17"/>
      <c r="D17" s="22"/>
      <c r="E17" s="17"/>
    </row>
    <row r="18" customFormat="false" ht="15" hidden="false" customHeight="true" outlineLevel="0" collapsed="false">
      <c r="A18" s="26" t="s">
        <v>154</v>
      </c>
      <c r="B18" s="17"/>
      <c r="C18" s="17"/>
      <c r="D18" s="22"/>
      <c r="E18" s="17"/>
    </row>
    <row r="19" customFormat="false" ht="15" hidden="false" customHeight="true" outlineLevel="0" collapsed="false">
      <c r="A19" s="26" t="s">
        <v>155</v>
      </c>
      <c r="B19" s="17"/>
      <c r="C19" s="17"/>
      <c r="D19" s="22"/>
      <c r="E19" s="17"/>
    </row>
    <row r="20" customFormat="false" ht="15" hidden="false" customHeight="true" outlineLevel="0" collapsed="false">
      <c r="A20" s="26" t="s">
        <v>156</v>
      </c>
      <c r="B20" s="17"/>
      <c r="C20" s="17"/>
      <c r="D20" s="22"/>
      <c r="E20" s="17"/>
    </row>
  </sheetData>
  <mergeCells count="4">
    <mergeCell ref="A1:E1"/>
    <mergeCell ref="A2:E2"/>
    <mergeCell ref="A4:E4"/>
    <mergeCell ref="A13:E13"/>
  </mergeCells>
  <dataValidations count="2">
    <dataValidation allowBlank="true" errorStyle="stop" operator="between" showDropDown="false" showErrorMessage="false" showInputMessage="false" sqref="D7:D11" type="list">
      <formula1>"合格,不合格,判定待ち"</formula1>
      <formula2>0</formula2>
    </dataValidation>
    <dataValidation allowBlank="true" errorStyle="stop" operator="between" showDropDown="false" showErrorMessage="false" showInputMessage="false" sqref="D16:D20" type="list">
      <formula1>"良好,要改善,重大な懸念"</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4" min="3" style="1" width="14"/>
    <col collapsed="false" customWidth="true" hidden="false" outlineLevel="0" max="5" min="5" style="1" width="12"/>
    <col collapsed="false" customWidth="true" hidden="false" outlineLevel="0" max="6" min="6" style="1" width="14"/>
    <col collapsed="false" customWidth="true" hidden="false" outlineLevel="0" max="8" min="7" style="1" width="26"/>
  </cols>
  <sheetData>
    <row r="1" customFormat="false" ht="19.5" hidden="false" customHeight="true" outlineLevel="0" collapsed="false">
      <c r="A1" s="2" t="s">
        <v>157</v>
      </c>
      <c r="B1" s="2"/>
      <c r="C1" s="2"/>
      <c r="D1" s="2"/>
      <c r="E1" s="2"/>
      <c r="F1" s="2"/>
      <c r="G1" s="2"/>
      <c r="H1" s="2"/>
    </row>
    <row r="3" customFormat="false" ht="15" hidden="false" customHeight="true" outlineLevel="0" collapsed="false">
      <c r="A3" s="23" t="s">
        <v>158</v>
      </c>
      <c r="B3" s="23"/>
      <c r="C3" s="23"/>
      <c r="D3" s="23"/>
      <c r="E3" s="23"/>
      <c r="F3" s="23"/>
      <c r="G3" s="23"/>
      <c r="H3" s="23"/>
    </row>
    <row r="4" customFormat="false" ht="32.25" hidden="false" customHeight="true" outlineLevel="0" collapsed="false">
      <c r="A4" s="20" t="s">
        <v>159</v>
      </c>
      <c r="B4" s="20" t="s">
        <v>160</v>
      </c>
      <c r="C4" s="20" t="s">
        <v>161</v>
      </c>
      <c r="D4" s="20" t="s">
        <v>162</v>
      </c>
      <c r="E4" s="20"/>
      <c r="G4" s="20" t="s">
        <v>163</v>
      </c>
      <c r="H4" s="20"/>
      <c r="I4" s="20"/>
    </row>
    <row r="5" customFormat="false" ht="33.75" hidden="false" customHeight="true" outlineLevel="0" collapsed="false">
      <c r="A5" s="39" t="s">
        <v>164</v>
      </c>
      <c r="B5" s="40" t="s">
        <v>165</v>
      </c>
      <c r="C5" s="22"/>
      <c r="D5" s="16"/>
      <c r="E5" s="16"/>
      <c r="F5" s="41"/>
      <c r="G5" s="41"/>
      <c r="H5" s="41"/>
      <c r="I5" s="42"/>
    </row>
    <row r="6" customFormat="false" ht="33.75" hidden="false" customHeight="true" outlineLevel="0" collapsed="false">
      <c r="A6" s="39" t="s">
        <v>166</v>
      </c>
      <c r="B6" s="40" t="s">
        <v>167</v>
      </c>
      <c r="C6" s="22"/>
      <c r="D6" s="16"/>
      <c r="E6" s="16"/>
      <c r="F6" s="41"/>
      <c r="G6" s="41"/>
      <c r="H6" s="41"/>
      <c r="I6" s="42"/>
    </row>
    <row r="7" customFormat="false" ht="33.75" hidden="false" customHeight="true" outlineLevel="0" collapsed="false">
      <c r="A7" s="39" t="s">
        <v>168</v>
      </c>
      <c r="B7" s="40" t="s">
        <v>169</v>
      </c>
      <c r="C7" s="22"/>
      <c r="D7" s="16"/>
      <c r="E7" s="16"/>
      <c r="F7" s="41"/>
      <c r="G7" s="41"/>
      <c r="H7" s="41"/>
      <c r="I7" s="42"/>
    </row>
    <row r="8" customFormat="false" ht="33.75" hidden="false" customHeight="true" outlineLevel="0" collapsed="false">
      <c r="A8" s="39" t="s">
        <v>170</v>
      </c>
      <c r="B8" s="40" t="s">
        <v>171</v>
      </c>
      <c r="C8" s="22"/>
      <c r="D8" s="16"/>
      <c r="E8" s="16"/>
      <c r="F8" s="41"/>
      <c r="G8" s="41"/>
      <c r="H8" s="41"/>
      <c r="I8" s="42"/>
    </row>
    <row r="10" customFormat="false" ht="15" hidden="false" customHeight="true" outlineLevel="0" collapsed="false">
      <c r="A10" s="23" t="s">
        <v>172</v>
      </c>
      <c r="B10" s="23"/>
      <c r="C10" s="23"/>
      <c r="D10" s="23"/>
      <c r="E10" s="23"/>
      <c r="F10" s="23"/>
      <c r="G10" s="23"/>
      <c r="H10" s="23"/>
    </row>
    <row r="11" customFormat="false" ht="15" hidden="false" customHeight="true" outlineLevel="0" collapsed="false">
      <c r="A11" s="25" t="s">
        <v>173</v>
      </c>
      <c r="B11" s="25"/>
      <c r="C11" s="25"/>
      <c r="D11" s="25"/>
      <c r="E11" s="25"/>
      <c r="F11" s="25"/>
      <c r="G11" s="25"/>
      <c r="H11" s="25"/>
    </row>
    <row r="12" customFormat="false" ht="16.5" hidden="false" customHeight="true" outlineLevel="0" collapsed="false">
      <c r="A12" s="20" t="s">
        <v>174</v>
      </c>
      <c r="B12" s="20" t="s">
        <v>175</v>
      </c>
      <c r="C12" s="20" t="s">
        <v>176</v>
      </c>
      <c r="D12" s="20" t="s">
        <v>177</v>
      </c>
      <c r="E12" s="20" t="s">
        <v>178</v>
      </c>
      <c r="F12" s="20" t="s">
        <v>179</v>
      </c>
      <c r="G12" s="20" t="s">
        <v>180</v>
      </c>
      <c r="H12" s="20" t="s">
        <v>181</v>
      </c>
      <c r="I12" s="20" t="s">
        <v>116</v>
      </c>
    </row>
    <row r="13" customFormat="false" ht="15" hidden="false" customHeight="true" outlineLevel="0" collapsed="false">
      <c r="A13" s="26" t="s">
        <v>182</v>
      </c>
      <c r="B13" s="17"/>
      <c r="C13" s="22"/>
      <c r="D13" s="22"/>
      <c r="E13" s="43" t="str">
        <f aca="false">IF(OR(C13="",D13=""),"",C13*D13)</f>
        <v/>
      </c>
      <c r="F13" s="22"/>
      <c r="G13" s="17"/>
      <c r="H13" s="16"/>
      <c r="I13" s="22"/>
    </row>
    <row r="14" customFormat="false" ht="15" hidden="false" customHeight="true" outlineLevel="0" collapsed="false">
      <c r="A14" s="26" t="s">
        <v>183</v>
      </c>
      <c r="B14" s="17"/>
      <c r="C14" s="22"/>
      <c r="D14" s="22"/>
      <c r="E14" s="43" t="str">
        <f aca="false">IF(OR(C14="",D14=""),"",C14*D14)</f>
        <v/>
      </c>
      <c r="F14" s="22"/>
      <c r="G14" s="17"/>
      <c r="H14" s="16"/>
      <c r="I14" s="22"/>
    </row>
    <row r="15" customFormat="false" ht="15" hidden="false" customHeight="true" outlineLevel="0" collapsed="false">
      <c r="A15" s="26" t="s">
        <v>184</v>
      </c>
      <c r="B15" s="17"/>
      <c r="C15" s="22"/>
      <c r="D15" s="22"/>
      <c r="E15" s="43" t="str">
        <f aca="false">IF(OR(C15="",D15=""),"",C15*D15)</f>
        <v/>
      </c>
      <c r="F15" s="22"/>
      <c r="G15" s="17"/>
      <c r="H15" s="16"/>
      <c r="I15" s="22"/>
    </row>
    <row r="16" customFormat="false" ht="15" hidden="false" customHeight="true" outlineLevel="0" collapsed="false">
      <c r="A16" s="26" t="s">
        <v>185</v>
      </c>
      <c r="B16" s="17"/>
      <c r="C16" s="22"/>
      <c r="D16" s="22"/>
      <c r="E16" s="43" t="str">
        <f aca="false">IF(OR(C16="",D16=""),"",C16*D16)</f>
        <v/>
      </c>
      <c r="F16" s="22"/>
      <c r="G16" s="17"/>
      <c r="H16" s="16"/>
      <c r="I16" s="22"/>
    </row>
    <row r="17" customFormat="false" ht="15" hidden="false" customHeight="true" outlineLevel="0" collapsed="false">
      <c r="A17" s="26" t="s">
        <v>186</v>
      </c>
      <c r="B17" s="17"/>
      <c r="C17" s="22"/>
      <c r="D17" s="22"/>
      <c r="E17" s="43" t="str">
        <f aca="false">IF(OR(C17="",D17=""),"",C17*D17)</f>
        <v/>
      </c>
      <c r="F17" s="22"/>
      <c r="G17" s="17"/>
      <c r="H17" s="16"/>
      <c r="I17" s="22"/>
    </row>
    <row r="18" customFormat="false" ht="15" hidden="false" customHeight="true" outlineLevel="0" collapsed="false">
      <c r="A18" s="26" t="s">
        <v>187</v>
      </c>
      <c r="B18" s="17"/>
      <c r="C18" s="22"/>
      <c r="D18" s="22"/>
      <c r="E18" s="43" t="str">
        <f aca="false">IF(OR(C18="",D18=""),"",C18*D18)</f>
        <v/>
      </c>
      <c r="F18" s="22"/>
      <c r="G18" s="17"/>
      <c r="H18" s="16"/>
      <c r="I18" s="22"/>
    </row>
    <row r="19" customFormat="false" ht="15" hidden="false" customHeight="true" outlineLevel="0" collapsed="false">
      <c r="A19" s="26" t="s">
        <v>188</v>
      </c>
      <c r="B19" s="17"/>
      <c r="C19" s="22"/>
      <c r="D19" s="22"/>
      <c r="E19" s="43" t="str">
        <f aca="false">IF(OR(C19="",D19=""),"",C19*D19)</f>
        <v/>
      </c>
      <c r="F19" s="22"/>
      <c r="G19" s="17"/>
      <c r="H19" s="16"/>
      <c r="I19" s="22"/>
    </row>
    <row r="20" customFormat="false" ht="15" hidden="false" customHeight="true" outlineLevel="0" collapsed="false">
      <c r="A20" s="26" t="s">
        <v>189</v>
      </c>
      <c r="B20" s="17"/>
      <c r="C20" s="22"/>
      <c r="D20" s="22"/>
      <c r="E20" s="43" t="str">
        <f aca="false">IF(OR(C20="",D20=""),"",C20*D20)</f>
        <v/>
      </c>
      <c r="F20" s="22"/>
      <c r="G20" s="17"/>
      <c r="H20" s="16"/>
      <c r="I20" s="22"/>
    </row>
    <row r="21" customFormat="false" ht="26.25" hidden="false" customHeight="true" outlineLevel="0" collapsed="false">
      <c r="A21" s="25" t="s">
        <v>190</v>
      </c>
      <c r="B21" s="25"/>
      <c r="C21" s="25"/>
      <c r="D21" s="25"/>
      <c r="E21" s="25"/>
      <c r="F21" s="25"/>
      <c r="G21" s="25"/>
      <c r="H21" s="25"/>
    </row>
  </sheetData>
  <mergeCells count="13">
    <mergeCell ref="A1:H1"/>
    <mergeCell ref="A3:H3"/>
    <mergeCell ref="D5:E5"/>
    <mergeCell ref="F5:H5"/>
    <mergeCell ref="D6:E6"/>
    <mergeCell ref="F6:H6"/>
    <mergeCell ref="D7:E7"/>
    <mergeCell ref="F7:H7"/>
    <mergeCell ref="D8:E8"/>
    <mergeCell ref="F8:H8"/>
    <mergeCell ref="A10:H10"/>
    <mergeCell ref="A11:H11"/>
    <mergeCell ref="A21:H21"/>
  </mergeCells>
  <conditionalFormatting sqref="E13:E20">
    <cfRule type="colorScale" priority="2">
      <colorScale>
        <cfvo type="min" val="0"/>
        <cfvo type="percentile" val="50"/>
        <cfvo type="max" val="0"/>
        <color rgb="FFC6E0B4"/>
        <color rgb="FFFFE699"/>
        <color rgb="FFF4A9A9"/>
      </colorScale>
    </cfRule>
  </conditionalFormatting>
  <dataValidations count="5">
    <dataValidation allowBlank="true" errorStyle="stop" operator="between" showDropDown="false" showErrorMessage="false" showInputMessage="false" sqref="C5:C8" type="list">
      <formula1>"高,中,低"</formula1>
      <formula2>0</formula2>
    </dataValidation>
    <dataValidation allowBlank="true" errorStyle="stop" operator="between" showDropDown="false" showErrorMessage="false" showInputMessage="false" sqref="C13:D20" type="list">
      <formula1>"1,2,3,4,5"</formula1>
      <formula2>0</formula2>
    </dataValidation>
    <dataValidation allowBlank="true" errorStyle="stop" operator="between" showDropDown="false" showErrorMessage="false" showInputMessage="false" sqref="H13:H20" type="list">
      <formula1>"未対応,対応中,監視中,解消済み,顕在化"</formula1>
      <formula2>0</formula2>
    </dataValidation>
    <dataValidation allowBlank="true" errorStyle="stop" operator="between" showDropDown="false" showErrorMessage="false" showInputMessage="false" sqref="F13:F20" type="list">
      <formula1>"脅威,好機"</formula1>
      <formula2>0</formula2>
    </dataValidation>
    <dataValidation allowBlank="true" errorStyle="stop" operator="between" showDropDown="false" showErrorMessage="false" showInputMessage="false" sqref="G13:G20" type="list">
      <formula1>"エスカレーション,回避（脅威）,転嫁（脅威）,軽減（脅威）,活用（好機）,共有（好機）,強化（好機）,受容（能動的）,受容（受動的）"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5" min="3" style="1" width="22"/>
    <col collapsed="false" customWidth="true" hidden="false" outlineLevel="0" max="7" min="6" style="1" width="14"/>
  </cols>
  <sheetData>
    <row r="1" customFormat="false" ht="19.5" hidden="false" customHeight="true" outlineLevel="0" collapsed="false">
      <c r="A1" s="2" t="s">
        <v>191</v>
      </c>
      <c r="B1" s="2"/>
      <c r="C1" s="2"/>
      <c r="D1" s="2"/>
      <c r="E1" s="2"/>
      <c r="F1" s="2"/>
      <c r="G1" s="2"/>
    </row>
    <row r="2" customFormat="false" ht="15" hidden="false" customHeight="true" outlineLevel="0" collapsed="false">
      <c r="A2" s="25" t="s">
        <v>192</v>
      </c>
      <c r="B2" s="25"/>
      <c r="C2" s="25"/>
      <c r="D2" s="25"/>
      <c r="E2" s="25"/>
      <c r="F2" s="25"/>
      <c r="G2" s="25"/>
    </row>
    <row r="4" customFormat="false" ht="15" hidden="false" customHeight="true" outlineLevel="0" collapsed="false">
      <c r="A4" s="44" t="s">
        <v>193</v>
      </c>
      <c r="B4" s="44"/>
      <c r="C4" s="25" t="s">
        <v>194</v>
      </c>
      <c r="D4" s="25"/>
      <c r="E4" s="25"/>
      <c r="F4" s="25"/>
      <c r="G4" s="25"/>
    </row>
    <row r="5" customFormat="false" ht="39.75" hidden="false" customHeight="true" outlineLevel="0" collapsed="false">
      <c r="A5" s="45"/>
      <c r="B5" s="45"/>
      <c r="C5" s="45"/>
      <c r="D5" s="45"/>
      <c r="E5" s="45"/>
      <c r="F5" s="45"/>
      <c r="G5" s="45"/>
    </row>
    <row r="6" customFormat="false" ht="15" hidden="false" customHeight="true" outlineLevel="0" collapsed="false">
      <c r="A6" s="44" t="s">
        <v>195</v>
      </c>
      <c r="B6" s="44"/>
      <c r="C6" s="25" t="s">
        <v>196</v>
      </c>
      <c r="D6" s="25"/>
      <c r="E6" s="25"/>
      <c r="F6" s="25"/>
      <c r="G6" s="25"/>
    </row>
    <row r="7" customFormat="false" ht="39.75" hidden="false" customHeight="true" outlineLevel="0" collapsed="false">
      <c r="A7" s="45"/>
      <c r="B7" s="45"/>
      <c r="C7" s="45"/>
      <c r="D7" s="45"/>
      <c r="E7" s="45"/>
      <c r="F7" s="45"/>
      <c r="G7" s="45"/>
    </row>
    <row r="8" customFormat="false" ht="15" hidden="false" customHeight="true" outlineLevel="0" collapsed="false">
      <c r="A8" s="44" t="s">
        <v>197</v>
      </c>
      <c r="B8" s="44"/>
      <c r="C8" s="25" t="s">
        <v>198</v>
      </c>
      <c r="D8" s="25"/>
      <c r="E8" s="25"/>
      <c r="F8" s="25"/>
      <c r="G8" s="25"/>
    </row>
    <row r="9" customFormat="false" ht="39.75" hidden="false" customHeight="true" outlineLevel="0" collapsed="false">
      <c r="A9" s="45"/>
      <c r="B9" s="45"/>
      <c r="C9" s="45"/>
      <c r="D9" s="45"/>
      <c r="E9" s="45"/>
      <c r="F9" s="45"/>
      <c r="G9" s="45"/>
    </row>
    <row r="10" customFormat="false" ht="15" hidden="false" customHeight="true" outlineLevel="0" collapsed="false">
      <c r="A10" s="44" t="s">
        <v>199</v>
      </c>
      <c r="B10" s="44"/>
      <c r="C10" s="25" t="s">
        <v>200</v>
      </c>
      <c r="D10" s="25"/>
      <c r="E10" s="25"/>
      <c r="F10" s="25"/>
      <c r="G10" s="25"/>
    </row>
    <row r="11" customFormat="false" ht="39.75" hidden="false" customHeight="true" outlineLevel="0" collapsed="false">
      <c r="A11" s="45"/>
      <c r="B11" s="45"/>
      <c r="C11" s="45"/>
      <c r="D11" s="45"/>
      <c r="E11" s="45"/>
      <c r="F11" s="45"/>
      <c r="G11" s="45"/>
    </row>
    <row r="13" customFormat="false" ht="15" hidden="false" customHeight="true" outlineLevel="0" collapsed="false">
      <c r="A13" s="23" t="s">
        <v>201</v>
      </c>
      <c r="B13" s="23"/>
      <c r="C13" s="23"/>
      <c r="D13" s="23"/>
      <c r="E13" s="23"/>
      <c r="F13" s="23"/>
      <c r="G13" s="23"/>
    </row>
    <row r="14" customFormat="false" ht="32.25" hidden="false" customHeight="true" outlineLevel="0" collapsed="false">
      <c r="A14" s="20" t="s">
        <v>202</v>
      </c>
      <c r="B14" s="20" t="s">
        <v>203</v>
      </c>
      <c r="C14" s="20" t="s">
        <v>204</v>
      </c>
      <c r="D14" s="20" t="s">
        <v>205</v>
      </c>
      <c r="E14" s="20" t="s">
        <v>206</v>
      </c>
      <c r="F14" s="20" t="s">
        <v>207</v>
      </c>
      <c r="G14" s="20" t="s">
        <v>116</v>
      </c>
    </row>
    <row r="15" customFormat="false" ht="15" hidden="false" customHeight="true" outlineLevel="0" collapsed="false">
      <c r="A15" s="26" t="s">
        <v>208</v>
      </c>
      <c r="B15" s="17"/>
      <c r="C15" s="17"/>
      <c r="D15" s="17"/>
      <c r="E15" s="17"/>
      <c r="F15" s="17"/>
      <c r="G15" s="22"/>
    </row>
    <row r="16" customFormat="false" ht="15" hidden="false" customHeight="true" outlineLevel="0" collapsed="false">
      <c r="A16" s="26" t="s">
        <v>209</v>
      </c>
      <c r="B16" s="17"/>
      <c r="C16" s="17"/>
      <c r="D16" s="17"/>
      <c r="E16" s="17"/>
      <c r="F16" s="17"/>
      <c r="G16" s="22"/>
    </row>
    <row r="17" customFormat="false" ht="15" hidden="false" customHeight="true" outlineLevel="0" collapsed="false">
      <c r="A17" s="26" t="s">
        <v>210</v>
      </c>
      <c r="B17" s="17"/>
      <c r="C17" s="17"/>
      <c r="D17" s="17"/>
      <c r="E17" s="17"/>
      <c r="F17" s="17"/>
      <c r="G17" s="22"/>
    </row>
    <row r="18" customFormat="false" ht="15" hidden="false" customHeight="true" outlineLevel="0" collapsed="false">
      <c r="A18" s="26" t="s">
        <v>211</v>
      </c>
      <c r="B18" s="17"/>
      <c r="C18" s="17"/>
      <c r="D18" s="17"/>
      <c r="E18" s="17"/>
      <c r="F18" s="17"/>
      <c r="G18" s="22"/>
    </row>
    <row r="19" customFormat="false" ht="15" hidden="false" customHeight="true" outlineLevel="0" collapsed="false">
      <c r="A19" s="26" t="s">
        <v>212</v>
      </c>
      <c r="B19" s="17"/>
      <c r="C19" s="17"/>
      <c r="D19" s="17"/>
      <c r="E19" s="17"/>
      <c r="F19" s="17"/>
      <c r="G19" s="22"/>
    </row>
    <row r="20" customFormat="false" ht="15" hidden="false" customHeight="true" outlineLevel="0" collapsed="false">
      <c r="A20" s="26" t="s">
        <v>213</v>
      </c>
      <c r="B20" s="17"/>
      <c r="C20" s="17"/>
      <c r="D20" s="17"/>
      <c r="E20" s="17"/>
      <c r="F20" s="17"/>
      <c r="G20" s="22"/>
    </row>
    <row r="21" customFormat="false" ht="15" hidden="false" customHeight="true" outlineLevel="0" collapsed="false">
      <c r="A21" s="26" t="s">
        <v>214</v>
      </c>
      <c r="B21" s="17"/>
      <c r="C21" s="17"/>
      <c r="D21" s="17"/>
      <c r="E21" s="17"/>
      <c r="F21" s="17"/>
      <c r="G21" s="22"/>
    </row>
    <row r="22" customFormat="false" ht="15" hidden="false" customHeight="true" outlineLevel="0" collapsed="false">
      <c r="A22" s="26" t="s">
        <v>215</v>
      </c>
      <c r="B22" s="17"/>
      <c r="C22" s="17"/>
      <c r="D22" s="17"/>
      <c r="E22" s="17"/>
      <c r="F22" s="17"/>
      <c r="G22" s="22"/>
    </row>
  </sheetData>
  <mergeCells count="15">
    <mergeCell ref="A1:G1"/>
    <mergeCell ref="A2:G2"/>
    <mergeCell ref="A4:B4"/>
    <mergeCell ref="C4:G4"/>
    <mergeCell ref="A5:G5"/>
    <mergeCell ref="A6:B6"/>
    <mergeCell ref="C6:G6"/>
    <mergeCell ref="A7:G7"/>
    <mergeCell ref="A8:B8"/>
    <mergeCell ref="C8:G8"/>
    <mergeCell ref="A9:G9"/>
    <mergeCell ref="A10:B10"/>
    <mergeCell ref="C10:G10"/>
    <mergeCell ref="A11:G11"/>
    <mergeCell ref="A13:G13"/>
  </mergeCells>
  <dataValidations count="1">
    <dataValidation allowBlank="true" errorStyle="stop" operator="between" showDropDown="false" showErrorMessage="false" showInputMessage="false" sqref="G15:G22" type="list">
      <formula1>"申請中,承認済み,却下,実施済み"</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30"/>
    <col collapsed="false" customWidth="true" hidden="false" outlineLevel="0" max="4" min="4" style="1" width="16"/>
    <col collapsed="false" customWidth="true" hidden="false" outlineLevel="0" max="5" min="5" style="1" width="20"/>
  </cols>
  <sheetData>
    <row r="1" customFormat="false" ht="19.5" hidden="false" customHeight="true" outlineLevel="0" collapsed="false">
      <c r="A1" s="2" t="s">
        <v>216</v>
      </c>
      <c r="B1" s="2"/>
      <c r="C1" s="2"/>
      <c r="D1" s="2"/>
      <c r="E1" s="2"/>
    </row>
    <row r="2" customFormat="false" ht="26.25" hidden="false" customHeight="true" outlineLevel="0" collapsed="false">
      <c r="A2" s="25" t="s">
        <v>217</v>
      </c>
      <c r="B2" s="25"/>
      <c r="C2" s="25"/>
      <c r="D2" s="25"/>
      <c r="E2" s="25"/>
    </row>
    <row r="4" customFormat="false" ht="16.5" hidden="false" customHeight="true" outlineLevel="0" collapsed="false">
      <c r="A4" s="20" t="s">
        <v>218</v>
      </c>
      <c r="B4" s="20" t="s">
        <v>219</v>
      </c>
      <c r="C4" s="20" t="s">
        <v>220</v>
      </c>
      <c r="D4" s="20" t="s">
        <v>87</v>
      </c>
      <c r="E4" s="20" t="s">
        <v>221</v>
      </c>
    </row>
    <row r="5" customFormat="false" ht="33.75" hidden="false" customHeight="true" outlineLevel="0" collapsed="false">
      <c r="A5" s="28" t="s">
        <v>222</v>
      </c>
      <c r="B5" s="17"/>
      <c r="C5" s="17"/>
      <c r="D5" s="22"/>
      <c r="E5" s="17"/>
    </row>
    <row r="6" customFormat="false" ht="33.75" hidden="false" customHeight="true" outlineLevel="0" collapsed="false">
      <c r="A6" s="28" t="s">
        <v>223</v>
      </c>
      <c r="B6" s="17"/>
      <c r="C6" s="17"/>
      <c r="D6" s="22"/>
      <c r="E6" s="17"/>
    </row>
    <row r="7" customFormat="false" ht="33.75" hidden="false" customHeight="true" outlineLevel="0" collapsed="false">
      <c r="A7" s="28" t="s">
        <v>224</v>
      </c>
      <c r="B7" s="17"/>
      <c r="C7" s="17"/>
      <c r="D7" s="22"/>
      <c r="E7" s="17"/>
    </row>
    <row r="8" customFormat="false" ht="33.75" hidden="false" customHeight="true" outlineLevel="0" collapsed="false">
      <c r="A8" s="28" t="s">
        <v>225</v>
      </c>
      <c r="B8" s="17"/>
      <c r="C8" s="17"/>
      <c r="D8" s="22"/>
      <c r="E8" s="17"/>
    </row>
    <row r="9" customFormat="false" ht="33.75" hidden="false" customHeight="true" outlineLevel="0" collapsed="false">
      <c r="A9" s="28" t="s">
        <v>226</v>
      </c>
      <c r="B9" s="17"/>
      <c r="C9" s="17"/>
      <c r="D9" s="22"/>
      <c r="E9" s="17"/>
    </row>
    <row r="10" customFormat="false" ht="33.75" hidden="false" customHeight="true" outlineLevel="0" collapsed="false">
      <c r="A10" s="28" t="s">
        <v>227</v>
      </c>
      <c r="B10" s="17"/>
      <c r="C10" s="17"/>
      <c r="D10" s="22"/>
      <c r="E10" s="17"/>
    </row>
  </sheetData>
  <mergeCells count="2">
    <mergeCell ref="A1:E1"/>
    <mergeCell ref="A2:E2"/>
  </mergeCells>
  <dataValidations count="1">
    <dataValidation allowBlank="true" errorStyle="stop" operator="between" showDropDown="false" showErrorMessage="false" showInputMessage="false" sqref="D5:D10" type="list">
      <formula1>"随時,毎日,週次,隔週,月次,四半期,マイルストーン時"</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46"/>
    <col collapsed="false" customWidth="true" hidden="false" outlineLevel="0" max="4" min="4" style="1" width="16"/>
    <col collapsed="false" customWidth="true" hidden="false" outlineLevel="0" max="5" min="5" style="1" width="30"/>
  </cols>
  <sheetData>
    <row r="1" customFormat="false" ht="23.25" hidden="false" customHeight="true" outlineLevel="0" collapsed="false">
      <c r="A1" s="24" t="s">
        <v>228</v>
      </c>
      <c r="B1" s="24"/>
      <c r="C1" s="24"/>
      <c r="D1" s="24"/>
      <c r="E1" s="24"/>
    </row>
    <row r="2" customFormat="false" ht="26.25" hidden="false" customHeight="true" outlineLevel="0" collapsed="false">
      <c r="A2" s="25" t="s">
        <v>229</v>
      </c>
      <c r="B2" s="25"/>
      <c r="C2" s="25"/>
      <c r="D2" s="25"/>
      <c r="E2" s="25"/>
    </row>
    <row r="4" customFormat="false" ht="29.25" hidden="false" customHeight="true" outlineLevel="0" collapsed="false">
      <c r="A4" s="46" t="s">
        <v>230</v>
      </c>
      <c r="B4" s="20" t="s">
        <v>231</v>
      </c>
      <c r="C4" s="20" t="s">
        <v>160</v>
      </c>
      <c r="D4" s="20" t="s">
        <v>232</v>
      </c>
      <c r="E4" s="20" t="s">
        <v>151</v>
      </c>
    </row>
    <row r="5" customFormat="false" ht="30" hidden="false" customHeight="true" outlineLevel="0" collapsed="false">
      <c r="A5" s="26" t="s">
        <v>233</v>
      </c>
      <c r="B5" s="39" t="s">
        <v>234</v>
      </c>
      <c r="C5" s="47" t="s">
        <v>235</v>
      </c>
      <c r="D5" s="22"/>
      <c r="E5" s="17"/>
    </row>
    <row r="6" customFormat="false" ht="30" hidden="false" customHeight="true" outlineLevel="0" collapsed="false">
      <c r="A6" s="26" t="s">
        <v>236</v>
      </c>
      <c r="B6" s="39" t="s">
        <v>237</v>
      </c>
      <c r="C6" s="47" t="s">
        <v>238</v>
      </c>
      <c r="D6" s="22"/>
      <c r="E6" s="17"/>
    </row>
    <row r="7" customFormat="false" ht="30" hidden="false" customHeight="true" outlineLevel="0" collapsed="false">
      <c r="A7" s="26" t="s">
        <v>239</v>
      </c>
      <c r="B7" s="39" t="s">
        <v>240</v>
      </c>
      <c r="C7" s="47" t="s">
        <v>241</v>
      </c>
      <c r="D7" s="22"/>
      <c r="E7" s="17"/>
    </row>
    <row r="8" customFormat="false" ht="30" hidden="false" customHeight="true" outlineLevel="0" collapsed="false">
      <c r="A8" s="26" t="s">
        <v>242</v>
      </c>
      <c r="B8" s="39" t="s">
        <v>243</v>
      </c>
      <c r="C8" s="47" t="s">
        <v>244</v>
      </c>
      <c r="D8" s="22"/>
      <c r="E8" s="17"/>
    </row>
    <row r="9" customFormat="false" ht="30" hidden="false" customHeight="true" outlineLevel="0" collapsed="false">
      <c r="A9" s="26" t="s">
        <v>245</v>
      </c>
      <c r="B9" s="39" t="s">
        <v>246</v>
      </c>
      <c r="C9" s="47" t="s">
        <v>247</v>
      </c>
      <c r="D9" s="22"/>
      <c r="E9" s="17"/>
    </row>
    <row r="10" customFormat="false" ht="30" hidden="false" customHeight="true" outlineLevel="0" collapsed="false">
      <c r="A10" s="26" t="s">
        <v>248</v>
      </c>
      <c r="B10" s="39" t="s">
        <v>249</v>
      </c>
      <c r="C10" s="47" t="s">
        <v>250</v>
      </c>
      <c r="D10" s="22"/>
      <c r="E10" s="17"/>
    </row>
    <row r="11" customFormat="false" ht="30" hidden="false" customHeight="true" outlineLevel="0" collapsed="false">
      <c r="A11" s="26" t="s">
        <v>251</v>
      </c>
      <c r="B11" s="39" t="s">
        <v>252</v>
      </c>
      <c r="C11" s="47" t="s">
        <v>253</v>
      </c>
      <c r="D11" s="22"/>
      <c r="E11" s="17"/>
    </row>
    <row r="12" customFormat="false" ht="30" hidden="false" customHeight="true" outlineLevel="0" collapsed="false">
      <c r="A12" s="26" t="s">
        <v>254</v>
      </c>
      <c r="B12" s="39" t="s">
        <v>255</v>
      </c>
      <c r="C12" s="47" t="s">
        <v>256</v>
      </c>
      <c r="D12" s="22"/>
      <c r="E12" s="17"/>
    </row>
    <row r="13" customFormat="false" ht="30" hidden="false" customHeight="true" outlineLevel="0" collapsed="false">
      <c r="A13" s="26" t="s">
        <v>257</v>
      </c>
      <c r="B13" s="39" t="s">
        <v>258</v>
      </c>
      <c r="C13" s="47" t="s">
        <v>259</v>
      </c>
      <c r="D13" s="22"/>
      <c r="E13" s="17"/>
    </row>
    <row r="14" customFormat="false" ht="30" hidden="false" customHeight="true" outlineLevel="0" collapsed="false">
      <c r="A14" s="26" t="s">
        <v>260</v>
      </c>
      <c r="B14" s="39" t="s">
        <v>261</v>
      </c>
      <c r="C14" s="47" t="s">
        <v>262</v>
      </c>
      <c r="D14" s="22"/>
      <c r="E14" s="17"/>
    </row>
    <row r="15" customFormat="false" ht="30" hidden="false" customHeight="true" outlineLevel="0" collapsed="false">
      <c r="A15" s="26" t="s">
        <v>263</v>
      </c>
      <c r="B15" s="39" t="s">
        <v>264</v>
      </c>
      <c r="C15" s="47" t="s">
        <v>265</v>
      </c>
      <c r="D15" s="22"/>
      <c r="E15" s="17"/>
    </row>
    <row r="16" customFormat="false" ht="30" hidden="false" customHeight="true" outlineLevel="0" collapsed="false">
      <c r="A16" s="26" t="s">
        <v>266</v>
      </c>
      <c r="B16" s="39" t="s">
        <v>267</v>
      </c>
      <c r="C16" s="47" t="s">
        <v>268</v>
      </c>
      <c r="D16" s="22"/>
      <c r="E16" s="17"/>
    </row>
    <row r="18" customFormat="false" ht="15" hidden="false" customHeight="true" outlineLevel="0" collapsed="false">
      <c r="B18" s="4" t="s">
        <v>269</v>
      </c>
      <c r="D18" s="48" t="str">
        <f aca="false">IFERROR(AVERAGE(D5:D16),"")</f>
        <v/>
      </c>
    </row>
  </sheetData>
  <mergeCells count="2">
    <mergeCell ref="A1:E1"/>
    <mergeCell ref="A2:E2"/>
  </mergeCells>
  <conditionalFormatting sqref="D5:D16">
    <cfRule type="colorScale" priority="2">
      <colorScale>
        <cfvo type="min" val="0"/>
        <cfvo type="percentile" val="50"/>
        <cfvo type="max" val="0"/>
        <color rgb="FFF4A9A9"/>
        <color rgb="FFFFE699"/>
        <color rgb="FFC6E0B4"/>
      </colorScale>
    </cfRule>
  </conditionalFormatting>
  <dataValidations count="1">
    <dataValidation allowBlank="true" errorStyle="stop" operator="between" showDropDown="false" showErrorMessage="false" showInputMessage="false" sqref="D5:D16"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30"/>
    <col collapsed="false" customWidth="true" hidden="false" outlineLevel="0" max="3" min="3" style="1" width="22"/>
    <col collapsed="false" customWidth="true" hidden="false" outlineLevel="0" max="4" min="4" style="1" width="16"/>
    <col collapsed="false" customWidth="true" hidden="false" outlineLevel="0" max="5" min="5" style="1" width="26"/>
  </cols>
  <sheetData>
    <row r="1" customFormat="false" ht="19.5" hidden="false" customHeight="true" outlineLevel="0" collapsed="false">
      <c r="A1" s="2" t="s">
        <v>270</v>
      </c>
      <c r="B1" s="2"/>
      <c r="C1" s="2"/>
      <c r="D1" s="2"/>
      <c r="E1" s="2"/>
    </row>
    <row r="2" customFormat="false" ht="15" hidden="false" customHeight="true" outlineLevel="0" collapsed="false">
      <c r="A2" s="25" t="s">
        <v>271</v>
      </c>
      <c r="B2" s="25"/>
      <c r="C2" s="25"/>
      <c r="D2" s="25"/>
      <c r="E2" s="25"/>
    </row>
    <row r="4" customFormat="false" ht="32.25" hidden="false" customHeight="true" outlineLevel="0" collapsed="false">
      <c r="A4" s="20" t="s">
        <v>272</v>
      </c>
      <c r="B4" s="20" t="s">
        <v>273</v>
      </c>
      <c r="C4" s="20" t="s">
        <v>274</v>
      </c>
      <c r="D4" s="20" t="s">
        <v>275</v>
      </c>
      <c r="E4" s="20" t="s">
        <v>276</v>
      </c>
    </row>
    <row r="5" customFormat="false" ht="60" hidden="false" customHeight="true" outlineLevel="0" collapsed="false">
      <c r="A5" s="39" t="s">
        <v>277</v>
      </c>
      <c r="B5" s="40" t="s">
        <v>278</v>
      </c>
      <c r="C5" s="17"/>
      <c r="D5" s="17"/>
      <c r="E5" s="17"/>
    </row>
    <row r="6" customFormat="false" ht="15" hidden="false" customHeight="true" outlineLevel="0" collapsed="false">
      <c r="A6" s="29"/>
      <c r="B6" s="29"/>
      <c r="C6" s="16"/>
      <c r="D6" s="16"/>
      <c r="E6" s="16"/>
    </row>
    <row r="7" customFormat="false" ht="15" hidden="false" customHeight="true" outlineLevel="0" collapsed="false">
      <c r="A7" s="29"/>
      <c r="B7" s="29"/>
      <c r="C7" s="16"/>
      <c r="D7" s="16"/>
      <c r="E7" s="16"/>
    </row>
    <row r="8" customFormat="false" ht="60" hidden="false" customHeight="true" outlineLevel="0" collapsed="false">
      <c r="A8" s="39" t="s">
        <v>279</v>
      </c>
      <c r="B8" s="40" t="s">
        <v>280</v>
      </c>
      <c r="C8" s="17"/>
      <c r="D8" s="17"/>
      <c r="E8" s="17"/>
    </row>
    <row r="9" customFormat="false" ht="15" hidden="false" customHeight="true" outlineLevel="0" collapsed="false">
      <c r="A9" s="29"/>
      <c r="B9" s="29"/>
      <c r="C9" s="16"/>
      <c r="D9" s="16"/>
      <c r="E9" s="16"/>
    </row>
    <row r="10" customFormat="false" ht="15" hidden="false" customHeight="true" outlineLevel="0" collapsed="false">
      <c r="A10" s="29"/>
      <c r="B10" s="29"/>
      <c r="C10" s="16"/>
      <c r="D10" s="16"/>
      <c r="E10" s="16"/>
    </row>
    <row r="11" customFormat="false" ht="60" hidden="false" customHeight="true" outlineLevel="0" collapsed="false">
      <c r="A11" s="39" t="s">
        <v>281</v>
      </c>
      <c r="B11" s="40" t="s">
        <v>282</v>
      </c>
      <c r="C11" s="17"/>
      <c r="D11" s="17"/>
      <c r="E11" s="17"/>
    </row>
    <row r="12" customFormat="false" ht="15" hidden="false" customHeight="true" outlineLevel="0" collapsed="false">
      <c r="A12" s="29"/>
      <c r="B12" s="29"/>
      <c r="C12" s="16"/>
      <c r="D12" s="16"/>
      <c r="E12" s="16"/>
    </row>
    <row r="13" customFormat="false" ht="15" hidden="false" customHeight="true" outlineLevel="0" collapsed="false">
      <c r="A13" s="29"/>
      <c r="B13" s="29"/>
      <c r="C13" s="16"/>
      <c r="D13" s="16"/>
      <c r="E13" s="16"/>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4" min="2" style="1" width="14"/>
    <col collapsed="false" customWidth="true" hidden="false" outlineLevel="0" max="9" min="5" style="1" width="12"/>
    <col collapsed="false" customWidth="true" hidden="false" outlineLevel="0" max="10" min="10" style="1" width="26"/>
  </cols>
  <sheetData>
    <row r="1" customFormat="false" ht="19.5" hidden="false" customHeight="true" outlineLevel="0" collapsed="false">
      <c r="A1" s="2" t="s">
        <v>283</v>
      </c>
      <c r="B1" s="2"/>
      <c r="C1" s="2"/>
      <c r="D1" s="2"/>
      <c r="E1" s="2"/>
      <c r="F1" s="2"/>
      <c r="G1" s="2"/>
      <c r="H1" s="2"/>
      <c r="I1" s="2"/>
      <c r="J1" s="2"/>
    </row>
    <row r="2" customFormat="false" ht="26.25" hidden="false" customHeight="true" outlineLevel="0" collapsed="false">
      <c r="A2" s="25" t="s">
        <v>284</v>
      </c>
      <c r="B2" s="25"/>
      <c r="C2" s="25"/>
      <c r="D2" s="25"/>
      <c r="E2" s="25"/>
      <c r="F2" s="25"/>
      <c r="G2" s="25"/>
      <c r="H2" s="25"/>
      <c r="I2" s="25"/>
      <c r="J2" s="25"/>
    </row>
    <row r="4" customFormat="false" ht="30" hidden="false" customHeight="true" outlineLevel="0" collapsed="false">
      <c r="A4" s="20" t="s">
        <v>285</v>
      </c>
      <c r="B4" s="20" t="s">
        <v>286</v>
      </c>
      <c r="C4" s="20" t="s">
        <v>287</v>
      </c>
      <c r="D4" s="20" t="s">
        <v>288</v>
      </c>
      <c r="E4" s="20" t="s">
        <v>289</v>
      </c>
      <c r="F4" s="20" t="s">
        <v>290</v>
      </c>
      <c r="G4" s="20" t="s">
        <v>291</v>
      </c>
      <c r="H4" s="20" t="s">
        <v>292</v>
      </c>
      <c r="I4" s="20" t="s">
        <v>293</v>
      </c>
      <c r="J4" s="20" t="s">
        <v>64</v>
      </c>
    </row>
    <row r="5" customFormat="false" ht="15" hidden="false" customHeight="true" outlineLevel="0" collapsed="false">
      <c r="A5" s="17"/>
      <c r="B5" s="22"/>
      <c r="C5" s="22"/>
      <c r="D5" s="22"/>
      <c r="E5" s="22"/>
      <c r="F5" s="22"/>
      <c r="G5" s="22"/>
      <c r="H5" s="26" t="str">
        <f aca="false">IF(OR(F5="",G5=""),"",ABS(CODE(G5)-CODE(F5)))</f>
        <v/>
      </c>
      <c r="I5" s="17"/>
      <c r="J5" s="17"/>
    </row>
    <row r="6" customFormat="false" ht="15" hidden="false" customHeight="true" outlineLevel="0" collapsed="false">
      <c r="A6" s="17"/>
      <c r="B6" s="22"/>
      <c r="C6" s="22"/>
      <c r="D6" s="22"/>
      <c r="E6" s="22"/>
      <c r="F6" s="22"/>
      <c r="G6" s="22"/>
      <c r="H6" s="26" t="str">
        <f aca="false">IF(OR(F6="",G6=""),"",ABS(CODE(G6)-CODE(F6)))</f>
        <v/>
      </c>
      <c r="I6" s="17"/>
      <c r="J6" s="17"/>
    </row>
    <row r="7" customFormat="false" ht="15" hidden="false" customHeight="true" outlineLevel="0" collapsed="false">
      <c r="A7" s="17"/>
      <c r="B7" s="22"/>
      <c r="C7" s="22"/>
      <c r="D7" s="22"/>
      <c r="E7" s="22"/>
      <c r="F7" s="22"/>
      <c r="G7" s="22"/>
      <c r="H7" s="26" t="str">
        <f aca="false">IF(OR(F7="",G7=""),"",ABS(CODE(G7)-CODE(F7)))</f>
        <v/>
      </c>
      <c r="I7" s="17"/>
      <c r="J7" s="17"/>
    </row>
    <row r="8" customFormat="false" ht="15" hidden="false" customHeight="true" outlineLevel="0" collapsed="false">
      <c r="A8" s="17"/>
      <c r="B8" s="22"/>
      <c r="C8" s="22"/>
      <c r="D8" s="22"/>
      <c r="E8" s="22"/>
      <c r="F8" s="22"/>
      <c r="G8" s="22"/>
      <c r="H8" s="26" t="str">
        <f aca="false">IF(OR(F8="",G8=""),"",ABS(CODE(G8)-CODE(F8)))</f>
        <v/>
      </c>
      <c r="I8" s="17"/>
      <c r="J8" s="17"/>
    </row>
    <row r="9" customFormat="false" ht="15" hidden="false" customHeight="true" outlineLevel="0" collapsed="false">
      <c r="A9" s="17"/>
      <c r="B9" s="22"/>
      <c r="C9" s="22"/>
      <c r="D9" s="22"/>
      <c r="E9" s="22"/>
      <c r="F9" s="22"/>
      <c r="G9" s="22"/>
      <c r="H9" s="26" t="str">
        <f aca="false">IF(OR(F9="",G9=""),"",ABS(CODE(G9)-CODE(F9)))</f>
        <v/>
      </c>
      <c r="I9" s="17"/>
      <c r="J9" s="17"/>
    </row>
    <row r="10" customFormat="false" ht="15" hidden="false" customHeight="true" outlineLevel="0" collapsed="false">
      <c r="A10" s="17"/>
      <c r="B10" s="22"/>
      <c r="C10" s="22"/>
      <c r="D10" s="22"/>
      <c r="E10" s="22"/>
      <c r="F10" s="22"/>
      <c r="G10" s="22"/>
      <c r="H10" s="26" t="str">
        <f aca="false">IF(OR(F10="",G10=""),"",ABS(CODE(G10)-CODE(F10)))</f>
        <v/>
      </c>
      <c r="I10" s="17"/>
      <c r="J10" s="17"/>
    </row>
    <row r="11" customFormat="false" ht="15" hidden="false" customHeight="true" outlineLevel="0" collapsed="false">
      <c r="A11" s="17"/>
      <c r="B11" s="22"/>
      <c r="C11" s="22"/>
      <c r="D11" s="22"/>
      <c r="E11" s="22"/>
      <c r="F11" s="22"/>
      <c r="G11" s="22"/>
      <c r="H11" s="26" t="str">
        <f aca="false">IF(OR(F11="",G11=""),"",ABS(CODE(G11)-CODE(F11)))</f>
        <v/>
      </c>
      <c r="I11" s="17"/>
      <c r="J11" s="17"/>
    </row>
    <row r="12" customFormat="false" ht="15" hidden="false" customHeight="true" outlineLevel="0" collapsed="false">
      <c r="A12" s="17"/>
      <c r="B12" s="22"/>
      <c r="C12" s="22"/>
      <c r="D12" s="22"/>
      <c r="E12" s="22"/>
      <c r="F12" s="22"/>
      <c r="G12" s="22"/>
      <c r="H12" s="26" t="str">
        <f aca="false">IF(OR(F12="",G12=""),"",ABS(CODE(G12)-CODE(F12)))</f>
        <v/>
      </c>
      <c r="I12" s="17"/>
      <c r="J12" s="17"/>
    </row>
    <row r="14" customFormat="false" ht="60" hidden="false" customHeight="true" outlineLevel="0" collapsed="false">
      <c r="A14" s="25" t="s">
        <v>294</v>
      </c>
      <c r="B14" s="25"/>
      <c r="C14" s="25"/>
      <c r="D14" s="25"/>
      <c r="E14" s="25"/>
      <c r="F14" s="25"/>
      <c r="G14" s="25"/>
      <c r="H14" s="25"/>
      <c r="I14" s="25"/>
      <c r="J14" s="25"/>
    </row>
    <row r="16" customFormat="false" ht="15" hidden="false" customHeight="true" outlineLevel="0" collapsed="false">
      <c r="A16" s="23" t="s">
        <v>295</v>
      </c>
      <c r="B16" s="23"/>
      <c r="C16" s="23"/>
      <c r="D16" s="23"/>
      <c r="E16" s="23"/>
      <c r="F16" s="23"/>
      <c r="G16" s="23"/>
      <c r="H16" s="23"/>
      <c r="I16" s="23"/>
      <c r="J16" s="23"/>
    </row>
    <row r="17" customFormat="false" ht="16.5" hidden="false" customHeight="true" outlineLevel="0" collapsed="false">
      <c r="A17" s="20" t="s">
        <v>296</v>
      </c>
      <c r="B17" s="20" t="s">
        <v>297</v>
      </c>
      <c r="C17" s="20"/>
      <c r="D17" s="20" t="s">
        <v>298</v>
      </c>
      <c r="E17" s="20"/>
      <c r="F17" s="20"/>
      <c r="G17" s="20"/>
      <c r="H17" s="20"/>
      <c r="I17" s="20"/>
      <c r="J17" s="20"/>
    </row>
    <row r="18" customFormat="false" ht="30" hidden="false" customHeight="true" outlineLevel="0" collapsed="false">
      <c r="A18" s="15" t="s">
        <v>299</v>
      </c>
      <c r="B18" s="47" t="s">
        <v>300</v>
      </c>
      <c r="C18" s="47"/>
      <c r="D18" s="47" t="s">
        <v>301</v>
      </c>
      <c r="E18" s="47"/>
      <c r="F18" s="47"/>
      <c r="G18" s="47"/>
      <c r="H18" s="47"/>
      <c r="I18" s="47"/>
      <c r="J18" s="47"/>
    </row>
    <row r="19" customFormat="false" ht="30" hidden="false" customHeight="true" outlineLevel="0" collapsed="false">
      <c r="A19" s="15" t="s">
        <v>302</v>
      </c>
      <c r="B19" s="47" t="s">
        <v>303</v>
      </c>
      <c r="C19" s="47"/>
      <c r="D19" s="47" t="s">
        <v>304</v>
      </c>
      <c r="E19" s="47"/>
      <c r="F19" s="47"/>
      <c r="G19" s="47"/>
      <c r="H19" s="47"/>
      <c r="I19" s="47"/>
      <c r="J19" s="47"/>
    </row>
    <row r="20" customFormat="false" ht="30" hidden="false" customHeight="true" outlineLevel="0" collapsed="false">
      <c r="A20" s="15" t="s">
        <v>305</v>
      </c>
      <c r="B20" s="47" t="s">
        <v>306</v>
      </c>
      <c r="C20" s="47"/>
      <c r="D20" s="47" t="s">
        <v>307</v>
      </c>
      <c r="E20" s="47"/>
      <c r="F20" s="47"/>
      <c r="G20" s="47"/>
      <c r="H20" s="47"/>
      <c r="I20" s="47"/>
      <c r="J20" s="47"/>
    </row>
  </sheetData>
  <mergeCells count="10">
    <mergeCell ref="A1:J1"/>
    <mergeCell ref="A2:J2"/>
    <mergeCell ref="A14:J14"/>
    <mergeCell ref="A16:J16"/>
    <mergeCell ref="B18:C18"/>
    <mergeCell ref="D18:J18"/>
    <mergeCell ref="B19:C19"/>
    <mergeCell ref="D19:J19"/>
    <mergeCell ref="B20:C20"/>
    <mergeCell ref="D20:J20"/>
  </mergeCells>
  <dataValidations count="2">
    <dataValidation allowBlank="true" errorStyle="stop" operator="between" showDropDown="false" showErrorMessage="false" showInputMessage="false" sqref="B5:E12" type="list">
      <formula1>"高,中,低"</formula1>
      <formula2>0</formula2>
    </dataValidation>
    <dataValidation allowBlank="true" errorStyle="stop" operator="between" showDropDown="false" showErrorMessage="false" showInputMessage="false" sqref="F5:G12" type="list">
      <formula1>"①不認識,②抵抗,③中立,④支援,⑤指導"</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46"/>
    <col collapsed="false" customWidth="true" hidden="false" outlineLevel="0" max="3" min="3" style="1" width="12"/>
    <col collapsed="false" customWidth="true" hidden="false" outlineLevel="0" max="4" min="4" style="1" width="26"/>
  </cols>
  <sheetData>
    <row r="1" customFormat="false" ht="19.5" hidden="false" customHeight="true" outlineLevel="0" collapsed="false">
      <c r="A1" s="2" t="s">
        <v>308</v>
      </c>
      <c r="B1" s="2"/>
      <c r="C1" s="2"/>
      <c r="D1" s="2"/>
    </row>
    <row r="2" customFormat="false" ht="15" hidden="false" customHeight="true" outlineLevel="0" collapsed="false">
      <c r="A2" s="25" t="s">
        <v>309</v>
      </c>
      <c r="B2" s="25"/>
      <c r="C2" s="25"/>
      <c r="D2" s="25"/>
    </row>
    <row r="4" customFormat="false" ht="15" hidden="false" customHeight="true" outlineLevel="0" collapsed="false">
      <c r="A4" s="23" t="s">
        <v>310</v>
      </c>
      <c r="B4" s="23"/>
      <c r="C4" s="23"/>
      <c r="D4" s="23"/>
    </row>
    <row r="5" customFormat="false" ht="16.5" hidden="false" customHeight="true" outlineLevel="0" collapsed="false">
      <c r="A5" s="20" t="s">
        <v>311</v>
      </c>
      <c r="B5" s="20" t="s">
        <v>312</v>
      </c>
      <c r="C5" s="20" t="s">
        <v>313</v>
      </c>
      <c r="D5" s="20" t="s">
        <v>151</v>
      </c>
    </row>
    <row r="6" customFormat="false" ht="27.75" hidden="false" customHeight="true" outlineLevel="0" collapsed="false">
      <c r="A6" s="39" t="s">
        <v>314</v>
      </c>
      <c r="B6" s="47" t="s">
        <v>315</v>
      </c>
      <c r="C6" s="22"/>
      <c r="D6" s="17"/>
    </row>
    <row r="7" customFormat="false" ht="27.75" hidden="false" customHeight="true" outlineLevel="0" collapsed="false">
      <c r="A7" s="39" t="s">
        <v>316</v>
      </c>
      <c r="B7" s="47" t="s">
        <v>317</v>
      </c>
      <c r="C7" s="22"/>
      <c r="D7" s="17"/>
    </row>
    <row r="8" customFormat="false" ht="27.75" hidden="false" customHeight="true" outlineLevel="0" collapsed="false">
      <c r="A8" s="39" t="s">
        <v>318</v>
      </c>
      <c r="B8" s="47" t="s">
        <v>319</v>
      </c>
      <c r="C8" s="22"/>
      <c r="D8" s="17"/>
    </row>
    <row r="9" customFormat="false" ht="27.75" hidden="false" customHeight="true" outlineLevel="0" collapsed="false">
      <c r="A9" s="39" t="s">
        <v>320</v>
      </c>
      <c r="B9" s="47" t="s">
        <v>321</v>
      </c>
      <c r="C9" s="22"/>
      <c r="D9" s="17"/>
    </row>
    <row r="10" customFormat="false" ht="27.75" hidden="false" customHeight="true" outlineLevel="0" collapsed="false">
      <c r="A10" s="39" t="s">
        <v>322</v>
      </c>
      <c r="B10" s="47" t="s">
        <v>323</v>
      </c>
      <c r="C10" s="22"/>
      <c r="D10" s="17"/>
    </row>
    <row r="11" customFormat="false" ht="27.75" hidden="false" customHeight="true" outlineLevel="0" collapsed="false">
      <c r="A11" s="39" t="s">
        <v>264</v>
      </c>
      <c r="B11" s="47" t="s">
        <v>324</v>
      </c>
      <c r="C11" s="22"/>
      <c r="D11" s="17"/>
    </row>
    <row r="12" customFormat="false" ht="27.75" hidden="false" customHeight="true" outlineLevel="0" collapsed="false">
      <c r="A12" s="39" t="s">
        <v>325</v>
      </c>
      <c r="B12" s="47" t="s">
        <v>326</v>
      </c>
      <c r="C12" s="22"/>
      <c r="D12" s="17"/>
    </row>
    <row r="13" customFormat="false" ht="27.75" hidden="false" customHeight="true" outlineLevel="0" collapsed="false">
      <c r="A13" s="39" t="s">
        <v>327</v>
      </c>
      <c r="B13" s="47" t="s">
        <v>328</v>
      </c>
      <c r="C13" s="22"/>
      <c r="D13" s="17"/>
    </row>
    <row r="15" customFormat="false" ht="15" hidden="false" customHeight="true" outlineLevel="0" collapsed="false">
      <c r="A15" s="36" t="s">
        <v>329</v>
      </c>
      <c r="B15" s="36"/>
      <c r="C15" s="48" t="str">
        <f aca="false">IFERROR(AVERAGE(C6:C13),"")</f>
        <v/>
      </c>
    </row>
    <row r="17" customFormat="false" ht="15" hidden="false" customHeight="true" outlineLevel="0" collapsed="false">
      <c r="A17" s="23" t="s">
        <v>330</v>
      </c>
      <c r="B17" s="23"/>
      <c r="C17" s="23"/>
      <c r="D17" s="23"/>
    </row>
    <row r="18" customFormat="false" ht="63.75" hidden="false" customHeight="true" outlineLevel="0" collapsed="false">
      <c r="A18" s="20" t="s">
        <v>331</v>
      </c>
      <c r="B18" s="20" t="s">
        <v>332</v>
      </c>
      <c r="C18" s="20" t="s">
        <v>333</v>
      </c>
      <c r="D18" s="20" t="s">
        <v>334</v>
      </c>
    </row>
    <row r="19" customFormat="false" ht="15" hidden="false" customHeight="true" outlineLevel="0" collapsed="false">
      <c r="A19" s="17"/>
      <c r="B19" s="17"/>
      <c r="C19" s="17"/>
      <c r="D19" s="17"/>
    </row>
    <row r="20" customFormat="false" ht="15" hidden="false" customHeight="true" outlineLevel="0" collapsed="false">
      <c r="A20" s="17"/>
      <c r="B20" s="17"/>
      <c r="C20" s="17"/>
      <c r="D20" s="17"/>
    </row>
    <row r="21" customFormat="false" ht="15" hidden="false" customHeight="true" outlineLevel="0" collapsed="false">
      <c r="A21" s="17"/>
      <c r="B21" s="17"/>
      <c r="C21" s="17"/>
      <c r="D21" s="17"/>
    </row>
    <row r="22" customFormat="false" ht="15" hidden="false" customHeight="true" outlineLevel="0" collapsed="false">
      <c r="A22" s="17"/>
      <c r="B22" s="17"/>
      <c r="C22" s="17"/>
      <c r="D22" s="17"/>
    </row>
    <row r="23" customFormat="false" ht="15" hidden="false" customHeight="true" outlineLevel="0" collapsed="false">
      <c r="A23" s="17"/>
      <c r="B23" s="17"/>
      <c r="C23" s="17"/>
      <c r="D23" s="17"/>
    </row>
    <row r="24" customFormat="false" ht="15" hidden="false" customHeight="true" outlineLevel="0" collapsed="false">
      <c r="A24" s="17"/>
      <c r="B24" s="17"/>
      <c r="C24" s="17"/>
      <c r="D24" s="17"/>
    </row>
    <row r="26" customFormat="false" ht="15" hidden="false" customHeight="true" outlineLevel="0" collapsed="false">
      <c r="A26" s="23" t="s">
        <v>335</v>
      </c>
      <c r="B26" s="23"/>
      <c r="C26" s="23"/>
      <c r="D26" s="23"/>
    </row>
    <row r="27" customFormat="false" ht="26.25" hidden="false" customHeight="true" outlineLevel="0" collapsed="false">
      <c r="A27" s="27" t="s">
        <v>336</v>
      </c>
      <c r="B27" s="27"/>
      <c r="C27" s="27"/>
      <c r="D27" s="27"/>
    </row>
    <row r="28" customFormat="false" ht="32.25" hidden="false" customHeight="true" outlineLevel="0" collapsed="false">
      <c r="A28" s="20" t="s">
        <v>337</v>
      </c>
      <c r="B28" s="20" t="s">
        <v>338</v>
      </c>
      <c r="C28" s="20" t="s">
        <v>339</v>
      </c>
      <c r="D28" s="20" t="s">
        <v>340</v>
      </c>
    </row>
    <row r="29" customFormat="false" ht="15" hidden="false" customHeight="true" outlineLevel="0" collapsed="false">
      <c r="A29" s="17"/>
      <c r="B29" s="17"/>
      <c r="C29" s="22"/>
      <c r="D29" s="17"/>
    </row>
    <row r="30" customFormat="false" ht="15" hidden="false" customHeight="true" outlineLevel="0" collapsed="false">
      <c r="A30" s="17"/>
      <c r="B30" s="17"/>
      <c r="C30" s="22"/>
      <c r="D30" s="17"/>
    </row>
    <row r="31" customFormat="false" ht="15" hidden="false" customHeight="true" outlineLevel="0" collapsed="false">
      <c r="A31" s="17"/>
      <c r="B31" s="17"/>
      <c r="C31" s="22"/>
      <c r="D31" s="17"/>
    </row>
    <row r="32" customFormat="false" ht="15" hidden="false" customHeight="true" outlineLevel="0" collapsed="false">
      <c r="A32" s="17"/>
      <c r="B32" s="17"/>
      <c r="C32" s="22"/>
      <c r="D32" s="17"/>
    </row>
    <row r="33" customFormat="false" ht="15" hidden="false" customHeight="true" outlineLevel="0" collapsed="false">
      <c r="A33" s="17"/>
      <c r="B33" s="17"/>
      <c r="C33" s="22"/>
      <c r="D33" s="17"/>
    </row>
    <row r="34" customFormat="false" ht="15" hidden="false" customHeight="true" outlineLevel="0" collapsed="false">
      <c r="A34" s="17"/>
      <c r="B34" s="17"/>
      <c r="C34" s="22"/>
      <c r="D34" s="17"/>
    </row>
  </sheetData>
  <mergeCells count="7">
    <mergeCell ref="A1:D1"/>
    <mergeCell ref="A2:D2"/>
    <mergeCell ref="A4:D4"/>
    <mergeCell ref="A15:B15"/>
    <mergeCell ref="A17:D17"/>
    <mergeCell ref="A26:D26"/>
    <mergeCell ref="A27:D27"/>
  </mergeCells>
  <conditionalFormatting sqref="C6:C13">
    <cfRule type="colorScale" priority="2">
      <colorScale>
        <cfvo type="min" val="0"/>
        <cfvo type="percentile" val="50"/>
        <cfvo type="max" val="0"/>
        <color rgb="FFF4A9A9"/>
        <color rgb="FFFFE699"/>
        <color rgb="FFC6E0B4"/>
      </colorScale>
    </cfRule>
  </conditionalFormatting>
  <dataValidations count="2">
    <dataValidation allowBlank="true" errorStyle="stop" operator="between" showDropDown="false" showErrorMessage="false" showInputMessage="false" sqref="C6:C13" type="list">
      <formula1>"1,2,3,4,5"</formula1>
      <formula2>0</formula2>
    </dataValidation>
    <dataValidation allowBlank="true" errorStyle="stop" operator="between" showDropDown="false" showErrorMessage="false" showInputMessage="false" sqref="C29:C34" type="list">
      <formula1>"①撤退・回避,②鎮静・適応,③妥協,④強制・指示,⑤協力・問題解決"</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 collapsed="false" customWidth="true" hidden="false" outlineLevel="0" max="3" min="3" style="1" width="16"/>
    <col collapsed="false" customWidth="true" hidden="false" outlineLevel="0" max="4" min="4" style="1" width="30"/>
  </cols>
  <sheetData>
    <row r="1" customFormat="false" ht="19.5" hidden="false" customHeight="true" outlineLevel="0" collapsed="false">
      <c r="A1" s="2" t="s">
        <v>341</v>
      </c>
      <c r="B1" s="2"/>
      <c r="C1" s="2"/>
      <c r="D1" s="2"/>
    </row>
    <row r="2" customFormat="false" ht="26.25" hidden="false" customHeight="true" outlineLevel="0" collapsed="false">
      <c r="A2" s="27" t="s">
        <v>342</v>
      </c>
      <c r="B2" s="27"/>
      <c r="C2" s="27"/>
      <c r="D2" s="27"/>
    </row>
    <row r="4" customFormat="false" ht="15" hidden="false" customHeight="true" outlineLevel="0" collapsed="false">
      <c r="A4" s="23" t="s">
        <v>343</v>
      </c>
      <c r="B4" s="23"/>
      <c r="C4" s="23"/>
      <c r="D4" s="23"/>
    </row>
    <row r="5" customFormat="false" ht="43.5" hidden="false" customHeight="true" outlineLevel="0" collapsed="false">
      <c r="A5" s="49" t="s">
        <v>344</v>
      </c>
      <c r="B5" s="49" t="s">
        <v>345</v>
      </c>
      <c r="C5" s="49" t="s">
        <v>346</v>
      </c>
      <c r="D5" s="49" t="s">
        <v>64</v>
      </c>
    </row>
    <row r="6" customFormat="false" ht="15" hidden="false" customHeight="true" outlineLevel="0" collapsed="false">
      <c r="A6" s="28" t="s">
        <v>347</v>
      </c>
      <c r="B6" s="47" t="s">
        <v>348</v>
      </c>
      <c r="C6" s="22"/>
      <c r="D6" s="17"/>
    </row>
    <row r="7" customFormat="false" ht="15" hidden="false" customHeight="true" outlineLevel="0" collapsed="false">
      <c r="A7" s="28" t="s">
        <v>349</v>
      </c>
      <c r="B7" s="47" t="s">
        <v>350</v>
      </c>
      <c r="C7" s="22"/>
      <c r="D7" s="17"/>
    </row>
    <row r="8" customFormat="false" ht="15" hidden="false" customHeight="true" outlineLevel="0" collapsed="false">
      <c r="A8" s="28" t="s">
        <v>351</v>
      </c>
      <c r="B8" s="47" t="s">
        <v>352</v>
      </c>
      <c r="C8" s="22"/>
      <c r="D8" s="17"/>
    </row>
    <row r="10" customFormat="false" ht="15" hidden="false" customHeight="true" outlineLevel="0" collapsed="false">
      <c r="A10" s="23" t="s">
        <v>353</v>
      </c>
      <c r="B10" s="23"/>
      <c r="C10" s="23"/>
      <c r="D10" s="23"/>
    </row>
    <row r="11" customFormat="false" ht="43.5" hidden="false" customHeight="true" outlineLevel="0" collapsed="false">
      <c r="A11" s="49" t="s">
        <v>344</v>
      </c>
      <c r="B11" s="49" t="s">
        <v>345</v>
      </c>
      <c r="C11" s="49" t="s">
        <v>346</v>
      </c>
      <c r="D11" s="49" t="s">
        <v>64</v>
      </c>
    </row>
    <row r="12" customFormat="false" ht="29.25" hidden="false" customHeight="true" outlineLevel="0" collapsed="false">
      <c r="A12" s="28" t="s">
        <v>354</v>
      </c>
      <c r="B12" s="47" t="s">
        <v>355</v>
      </c>
      <c r="C12" s="22"/>
      <c r="D12" s="17"/>
    </row>
    <row r="13" customFormat="false" ht="29.25" hidden="false" customHeight="true" outlineLevel="0" collapsed="false">
      <c r="A13" s="28" t="s">
        <v>356</v>
      </c>
      <c r="B13" s="47" t="s">
        <v>357</v>
      </c>
      <c r="C13" s="22"/>
      <c r="D13" s="17"/>
    </row>
    <row r="14" customFormat="false" ht="15" hidden="false" customHeight="true" outlineLevel="0" collapsed="false">
      <c r="A14" s="28" t="s">
        <v>358</v>
      </c>
      <c r="B14" s="47" t="s">
        <v>359</v>
      </c>
      <c r="C14" s="22"/>
      <c r="D14" s="17"/>
    </row>
    <row r="15" customFormat="false" ht="15" hidden="false" customHeight="true" outlineLevel="0" collapsed="false">
      <c r="A15" s="28" t="s">
        <v>360</v>
      </c>
      <c r="B15" s="47" t="s">
        <v>361</v>
      </c>
      <c r="C15" s="22"/>
      <c r="D15" s="17"/>
    </row>
    <row r="17" customFormat="false" ht="15" hidden="false" customHeight="true" outlineLevel="0" collapsed="false">
      <c r="A17" s="23" t="s">
        <v>362</v>
      </c>
      <c r="B17" s="23"/>
      <c r="C17" s="23"/>
      <c r="D17" s="23"/>
    </row>
    <row r="18" customFormat="false" ht="43.5" hidden="false" customHeight="true" outlineLevel="0" collapsed="false">
      <c r="A18" s="49" t="s">
        <v>344</v>
      </c>
      <c r="B18" s="49" t="s">
        <v>345</v>
      </c>
      <c r="C18" s="49" t="s">
        <v>346</v>
      </c>
      <c r="D18" s="49" t="s">
        <v>64</v>
      </c>
    </row>
    <row r="19" customFormat="false" ht="15" hidden="false" customHeight="true" outlineLevel="0" collapsed="false">
      <c r="A19" s="28" t="s">
        <v>106</v>
      </c>
      <c r="B19" s="47" t="s">
        <v>363</v>
      </c>
      <c r="C19" s="22"/>
      <c r="D19" s="17"/>
    </row>
    <row r="20" customFormat="false" ht="15" hidden="false" customHeight="true" outlineLevel="0" collapsed="false">
      <c r="A20" s="28" t="s">
        <v>364</v>
      </c>
      <c r="B20" s="47" t="s">
        <v>365</v>
      </c>
      <c r="C20" s="22"/>
      <c r="D20" s="17"/>
    </row>
    <row r="21" customFormat="false" ht="15" hidden="false" customHeight="true" outlineLevel="0" collapsed="false">
      <c r="A21" s="28" t="s">
        <v>366</v>
      </c>
      <c r="B21" s="47" t="s">
        <v>367</v>
      </c>
      <c r="C21" s="22"/>
      <c r="D21" s="17"/>
    </row>
    <row r="24" customFormat="false" ht="15" hidden="false" customHeight="true" outlineLevel="0" collapsed="false">
      <c r="A24" s="23" t="s">
        <v>368</v>
      </c>
      <c r="B24" s="23"/>
      <c r="C24" s="23"/>
      <c r="D24" s="23"/>
    </row>
    <row r="25" customFormat="false" ht="15" hidden="false" customHeight="true" outlineLevel="0" collapsed="false">
      <c r="A25" s="15" t="s">
        <v>369</v>
      </c>
      <c r="B25" s="50" t="n">
        <f aca="false">COUNTIF(C5:C23,"予測型寄り")</f>
        <v>0</v>
      </c>
      <c r="C25" s="15" t="s">
        <v>370</v>
      </c>
      <c r="D25" s="50" t="n">
        <f aca="false">COUNTIF(C5:C23,"適応型寄り")</f>
        <v>0</v>
      </c>
    </row>
    <row r="26" customFormat="false" ht="15" hidden="false" customHeight="true" outlineLevel="0" collapsed="false">
      <c r="A26" s="36" t="s">
        <v>371</v>
      </c>
      <c r="B26" s="36"/>
      <c r="C26" s="51" t="str">
        <f aca="false">IF(B25=D25,"ハイブリッド型を検討",IF(B25&gt;D25,"予測型（ウォーターフォール型）","適応型（反復型/漸進型/アジャイル型）"))</f>
        <v>ハイブリッド型を検討</v>
      </c>
      <c r="D26" s="51"/>
    </row>
  </sheetData>
  <mergeCells count="8">
    <mergeCell ref="A1:D1"/>
    <mergeCell ref="A2:D2"/>
    <mergeCell ref="A4:D4"/>
    <mergeCell ref="A10:D10"/>
    <mergeCell ref="A17:D17"/>
    <mergeCell ref="A24:D24"/>
    <mergeCell ref="A26:B26"/>
    <mergeCell ref="C26:D26"/>
  </mergeCells>
  <dataValidations count="1">
    <dataValidation allowBlank="true" errorStyle="stop" operator="between" showDropDown="false" showErrorMessage="false" showInputMessage="false" sqref="C5:C40" type="list">
      <formula1>"予測型寄り,適応型寄り"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3" min="3" style="1" width="20"/>
    <col collapsed="false" customWidth="true" hidden="false" outlineLevel="0" max="4" min="4" style="1" width="24"/>
  </cols>
  <sheetData>
    <row r="1" customFormat="false" ht="19.5" hidden="false" customHeight="true" outlineLevel="0" collapsed="false">
      <c r="A1" s="2" t="s">
        <v>372</v>
      </c>
      <c r="B1" s="2"/>
      <c r="C1" s="2"/>
      <c r="D1" s="2"/>
    </row>
    <row r="2" customFormat="false" ht="15" hidden="false" customHeight="true" outlineLevel="0" collapsed="false">
      <c r="A2" s="25" t="s">
        <v>373</v>
      </c>
      <c r="B2" s="25"/>
      <c r="C2" s="25"/>
      <c r="D2" s="25"/>
    </row>
    <row r="4" customFormat="false" ht="15" hidden="false" customHeight="true" outlineLevel="0" collapsed="false">
      <c r="A4" s="23" t="s">
        <v>374</v>
      </c>
      <c r="B4" s="23"/>
      <c r="C4" s="23"/>
      <c r="D4" s="23"/>
    </row>
    <row r="5" customFormat="false" ht="32.25" hidden="false" customHeight="true" outlineLevel="0" collapsed="false">
      <c r="A5" s="20" t="s">
        <v>375</v>
      </c>
      <c r="B5" s="20" t="s">
        <v>376</v>
      </c>
      <c r="C5" s="20" t="s">
        <v>377</v>
      </c>
      <c r="D5" s="20" t="s">
        <v>378</v>
      </c>
    </row>
    <row r="6" customFormat="false" ht="15" hidden="false" customHeight="true" outlineLevel="0" collapsed="false">
      <c r="A6" s="17"/>
      <c r="B6" s="22"/>
      <c r="C6" s="17"/>
      <c r="D6" s="17"/>
    </row>
    <row r="7" customFormat="false" ht="15" hidden="false" customHeight="true" outlineLevel="0" collapsed="false">
      <c r="A7" s="17"/>
      <c r="B7" s="22"/>
      <c r="C7" s="17"/>
      <c r="D7" s="17"/>
    </row>
    <row r="8" customFormat="false" ht="15" hidden="false" customHeight="true" outlineLevel="0" collapsed="false">
      <c r="A8" s="17"/>
      <c r="B8" s="22"/>
      <c r="C8" s="17"/>
      <c r="D8" s="17"/>
    </row>
    <row r="9" customFormat="false" ht="15" hidden="false" customHeight="true" outlineLevel="0" collapsed="false">
      <c r="A9" s="17"/>
      <c r="B9" s="22"/>
      <c r="C9" s="17"/>
      <c r="D9" s="17"/>
    </row>
    <row r="10" customFormat="false" ht="15" hidden="false" customHeight="true" outlineLevel="0" collapsed="false">
      <c r="A10" s="17"/>
      <c r="B10" s="22"/>
      <c r="C10" s="17"/>
      <c r="D10" s="17"/>
    </row>
    <row r="11" customFormat="false" ht="15" hidden="false" customHeight="true" outlineLevel="0" collapsed="false">
      <c r="A11" s="17"/>
      <c r="B11" s="22"/>
      <c r="C11" s="17"/>
      <c r="D11" s="17"/>
    </row>
    <row r="12" customFormat="false" ht="15" hidden="false" customHeight="true" outlineLevel="0" collapsed="false">
      <c r="A12" s="17"/>
      <c r="B12" s="22"/>
      <c r="C12" s="17"/>
      <c r="D12" s="17"/>
    </row>
    <row r="13" customFormat="false" ht="15" hidden="false" customHeight="true" outlineLevel="0" collapsed="false">
      <c r="A13" s="17"/>
      <c r="B13" s="22"/>
      <c r="C13" s="17"/>
      <c r="D13" s="17"/>
    </row>
    <row r="15" customFormat="false" ht="15" hidden="false" customHeight="true" outlineLevel="0" collapsed="false">
      <c r="A15" s="23" t="s">
        <v>379</v>
      </c>
      <c r="B15" s="23"/>
      <c r="C15" s="23"/>
      <c r="D15" s="23"/>
    </row>
    <row r="16" customFormat="false" ht="26.25" hidden="false" customHeight="true" outlineLevel="0" collapsed="false">
      <c r="A16" s="25" t="s">
        <v>380</v>
      </c>
      <c r="B16" s="25"/>
      <c r="C16" s="25"/>
      <c r="D16" s="25"/>
    </row>
    <row r="17" customFormat="false" ht="16.5" hidden="false" customHeight="true" outlineLevel="0" collapsed="false">
      <c r="A17" s="20" t="s">
        <v>381</v>
      </c>
      <c r="B17" s="20" t="s">
        <v>382</v>
      </c>
      <c r="C17" s="20" t="s">
        <v>383</v>
      </c>
      <c r="D17" s="20" t="s">
        <v>384</v>
      </c>
    </row>
    <row r="18" customFormat="false" ht="43.5" hidden="false" customHeight="true" outlineLevel="0" collapsed="false">
      <c r="A18" s="39" t="s">
        <v>385</v>
      </c>
      <c r="B18" s="22"/>
      <c r="C18" s="29"/>
      <c r="D18" s="17"/>
    </row>
    <row r="19" customFormat="false" ht="43.5" hidden="false" customHeight="true" outlineLevel="0" collapsed="false">
      <c r="A19" s="39" t="s">
        <v>386</v>
      </c>
      <c r="B19" s="22"/>
      <c r="C19" s="52" t="s">
        <v>53</v>
      </c>
      <c r="D19" s="17"/>
    </row>
    <row r="20" customFormat="false" ht="43.5" hidden="false" customHeight="true" outlineLevel="0" collapsed="false">
      <c r="A20" s="39" t="s">
        <v>387</v>
      </c>
      <c r="B20" s="53" t="n">
        <f aca="false">IFERROR(B18+B19,"")</f>
        <v>0</v>
      </c>
      <c r="C20" s="29"/>
      <c r="D20" s="17"/>
    </row>
    <row r="21" customFormat="false" ht="43.5" hidden="false" customHeight="true" outlineLevel="0" collapsed="false">
      <c r="A21" s="39" t="s">
        <v>388</v>
      </c>
      <c r="B21" s="22"/>
      <c r="C21" s="52" t="s">
        <v>389</v>
      </c>
      <c r="D21" s="17"/>
    </row>
    <row r="22" customFormat="false" ht="43.5" hidden="false" customHeight="true" outlineLevel="0" collapsed="false">
      <c r="A22" s="39" t="s">
        <v>390</v>
      </c>
      <c r="B22" s="53" t="n">
        <f aca="false">IFERROR(B20+B21,"")</f>
        <v>0</v>
      </c>
      <c r="C22" s="29"/>
      <c r="D22" s="17"/>
    </row>
  </sheetData>
  <mergeCells count="5">
    <mergeCell ref="A1:D1"/>
    <mergeCell ref="A2:D2"/>
    <mergeCell ref="A4:D4"/>
    <mergeCell ref="A15:D15"/>
    <mergeCell ref="A16:D16"/>
  </mergeCells>
  <dataValidations count="1">
    <dataValidation allowBlank="true" errorStyle="stop" operator="between" showDropDown="false" showErrorMessage="false" showInputMessage="false" sqref="B6:B13" type="list">
      <formula1>"確定的見積り,確率論的見積り（三点見積り）,絶対的見積り,相対的見積り,フローベースの見積り"</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16"/>
    <col collapsed="false" customWidth="true" hidden="false" outlineLevel="0" max="4" min="4" style="1" width="14"/>
    <col collapsed="false" customWidth="true" hidden="false" outlineLevel="0" max="5" min="5" style="1" width="24"/>
  </cols>
  <sheetData>
    <row r="1" customFormat="false" ht="19.5" hidden="false" customHeight="true" outlineLevel="0" collapsed="false">
      <c r="A1" s="2" t="s">
        <v>391</v>
      </c>
      <c r="B1" s="2"/>
      <c r="C1" s="2"/>
      <c r="D1" s="2"/>
      <c r="E1" s="2"/>
    </row>
    <row r="2" customFormat="false" ht="15" hidden="false" customHeight="true" outlineLevel="0" collapsed="false">
      <c r="A2" s="25" t="s">
        <v>392</v>
      </c>
      <c r="B2" s="25"/>
      <c r="C2" s="25"/>
      <c r="D2" s="25"/>
      <c r="E2" s="25"/>
    </row>
    <row r="4" customFormat="false" ht="15" hidden="false" customHeight="true" outlineLevel="0" collapsed="false">
      <c r="A4" s="23" t="s">
        <v>393</v>
      </c>
      <c r="B4" s="23"/>
      <c r="C4" s="23"/>
      <c r="D4" s="23"/>
      <c r="E4" s="23"/>
    </row>
    <row r="5" customFormat="false" ht="32.25" hidden="false" customHeight="true" outlineLevel="0" collapsed="false">
      <c r="A5" s="20" t="s">
        <v>394</v>
      </c>
      <c r="B5" s="20" t="s">
        <v>395</v>
      </c>
      <c r="C5" s="20" t="s">
        <v>396</v>
      </c>
      <c r="D5" s="20" t="s">
        <v>151</v>
      </c>
      <c r="E5" s="20" t="s">
        <v>397</v>
      </c>
    </row>
    <row r="6" customFormat="false" ht="15" hidden="false" customHeight="true" outlineLevel="0" collapsed="false">
      <c r="A6" s="17"/>
      <c r="B6" s="22"/>
      <c r="C6" s="17"/>
      <c r="D6" s="17"/>
      <c r="E6" s="17"/>
    </row>
    <row r="7" customFormat="false" ht="15" hidden="false" customHeight="true" outlineLevel="0" collapsed="false">
      <c r="A7" s="17"/>
      <c r="B7" s="22"/>
      <c r="C7" s="17"/>
      <c r="D7" s="17"/>
      <c r="E7" s="17"/>
    </row>
    <row r="8" customFormat="false" ht="15" hidden="false" customHeight="true" outlineLevel="0" collapsed="false">
      <c r="A8" s="17"/>
      <c r="B8" s="22"/>
      <c r="C8" s="17"/>
      <c r="D8" s="17"/>
      <c r="E8" s="17"/>
    </row>
    <row r="9" customFormat="false" ht="15" hidden="false" customHeight="true" outlineLevel="0" collapsed="false">
      <c r="A9" s="17"/>
      <c r="B9" s="22"/>
      <c r="C9" s="17"/>
      <c r="D9" s="17"/>
      <c r="E9" s="17"/>
    </row>
    <row r="10" customFormat="false" ht="15" hidden="false" customHeight="true" outlineLevel="0" collapsed="false">
      <c r="A10" s="17"/>
      <c r="B10" s="22"/>
      <c r="C10" s="17"/>
      <c r="D10" s="17"/>
      <c r="E10" s="17"/>
    </row>
    <row r="11" customFormat="false" ht="15" hidden="false" customHeight="true" outlineLevel="0" collapsed="false">
      <c r="A11" s="17"/>
      <c r="B11" s="22"/>
      <c r="C11" s="17"/>
      <c r="D11" s="17"/>
      <c r="E11" s="17"/>
    </row>
    <row r="13" customFormat="false" ht="15" hidden="false" customHeight="true" outlineLevel="0" collapsed="false">
      <c r="A13" s="23" t="s">
        <v>398</v>
      </c>
      <c r="B13" s="23"/>
      <c r="C13" s="23"/>
      <c r="D13" s="23"/>
      <c r="E13" s="23"/>
    </row>
    <row r="14" customFormat="false" ht="26.25" hidden="false" customHeight="true" outlineLevel="0" collapsed="false">
      <c r="A14" s="25" t="s">
        <v>399</v>
      </c>
      <c r="B14" s="25"/>
      <c r="C14" s="25"/>
      <c r="D14" s="25"/>
      <c r="E14" s="25"/>
    </row>
    <row r="15" customFormat="false" ht="32.25" hidden="false" customHeight="true" outlineLevel="0" collapsed="false">
      <c r="A15" s="20" t="s">
        <v>400</v>
      </c>
      <c r="B15" s="20" t="s">
        <v>401</v>
      </c>
      <c r="C15" s="20" t="s">
        <v>402</v>
      </c>
      <c r="D15" s="20" t="s">
        <v>403</v>
      </c>
      <c r="E15" s="20" t="s">
        <v>404</v>
      </c>
    </row>
    <row r="16" customFormat="false" ht="15" hidden="false" customHeight="true" outlineLevel="0" collapsed="false">
      <c r="A16" s="17"/>
      <c r="B16" s="22"/>
      <c r="C16" s="17"/>
      <c r="D16" s="22"/>
      <c r="E16" s="17"/>
    </row>
    <row r="17" customFormat="false" ht="15" hidden="false" customHeight="true" outlineLevel="0" collapsed="false">
      <c r="A17" s="17"/>
      <c r="B17" s="22"/>
      <c r="C17" s="17"/>
      <c r="D17" s="22"/>
      <c r="E17" s="17"/>
    </row>
    <row r="18" customFormat="false" ht="15" hidden="false" customHeight="true" outlineLevel="0" collapsed="false">
      <c r="A18" s="17"/>
      <c r="B18" s="22"/>
      <c r="C18" s="17"/>
      <c r="D18" s="22"/>
      <c r="E18" s="17"/>
    </row>
    <row r="19" customFormat="false" ht="15" hidden="false" customHeight="true" outlineLevel="0" collapsed="false">
      <c r="A19" s="17"/>
      <c r="B19" s="22"/>
      <c r="C19" s="17"/>
      <c r="D19" s="22"/>
      <c r="E19" s="17"/>
    </row>
    <row r="20" customFormat="false" ht="15" hidden="false" customHeight="true" outlineLevel="0" collapsed="false">
      <c r="A20" s="17"/>
      <c r="B20" s="22"/>
      <c r="C20" s="17"/>
      <c r="D20" s="22"/>
      <c r="E20" s="17"/>
    </row>
    <row r="21" customFormat="false" ht="15" hidden="false" customHeight="true" outlineLevel="0" collapsed="false">
      <c r="A21" s="17"/>
      <c r="B21" s="22"/>
      <c r="C21" s="17"/>
      <c r="D21" s="22"/>
      <c r="E21" s="17"/>
    </row>
  </sheetData>
  <mergeCells count="5">
    <mergeCell ref="A1:E1"/>
    <mergeCell ref="A2:E2"/>
    <mergeCell ref="A4:E4"/>
    <mergeCell ref="A13:E13"/>
    <mergeCell ref="A14:E14"/>
  </mergeCells>
  <dataValidations count="3">
    <dataValidation allowBlank="true" errorStyle="stop" operator="between" showDropDown="false" showErrorMessage="false" showInputMessage="false" sqref="B6:B11" type="list">
      <formula1>"リーン生産方式（バリューストリームマップ）,レトロスペクティブ,その他"</formula1>
      <formula2>0</formula2>
    </dataValidation>
    <dataValidation allowBlank="true" errorStyle="stop" operator="between" showDropDown="false" showErrorMessage="false" showInputMessage="false" sqref="B16:B21" type="list">
      <formula1>"情報提供依頼書(RFI),提案依頼書(RFP),見積依頼書(RFQ),入札招請書(IFB)"</formula1>
      <formula2>0</formula2>
    </dataValidation>
    <dataValidation allowBlank="true" errorStyle="stop" operator="between" showDropDown="false" showErrorMessage="false" showInputMessage="false" sqref="D16:D21" type="list">
      <formula1>"①作業範囲記述書作成,②評価方法決定,③入札文書作成,④入札説明会,⑤評価,⑥交渉,⑦契約締結"</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16"/>
    <col collapsed="false" customWidth="true" hidden="false" outlineLevel="0" max="4" min="4" style="1" width="26"/>
  </cols>
  <sheetData>
    <row r="1" customFormat="false" ht="23.25" hidden="false" customHeight="true" outlineLevel="0" collapsed="false">
      <c r="A1" s="2" t="s">
        <v>405</v>
      </c>
      <c r="B1" s="2"/>
      <c r="C1" s="2"/>
      <c r="D1" s="2"/>
    </row>
    <row r="2" customFormat="false" ht="26.25" hidden="false" customHeight="true" outlineLevel="0" collapsed="false">
      <c r="A2" s="25" t="s">
        <v>406</v>
      </c>
      <c r="B2" s="25"/>
      <c r="C2" s="25"/>
      <c r="D2" s="25"/>
    </row>
    <row r="4" customFormat="false" ht="16.5" hidden="false" customHeight="true" outlineLevel="0" collapsed="false">
      <c r="A4" s="20" t="s">
        <v>407</v>
      </c>
      <c r="B4" s="20" t="s">
        <v>408</v>
      </c>
      <c r="C4" s="20" t="s">
        <v>382</v>
      </c>
      <c r="D4" s="20" t="s">
        <v>64</v>
      </c>
    </row>
    <row r="5" customFormat="false" ht="30" hidden="false" customHeight="true" outlineLevel="0" collapsed="false">
      <c r="A5" s="39" t="s">
        <v>409</v>
      </c>
      <c r="B5" s="47" t="s">
        <v>410</v>
      </c>
      <c r="C5" s="22"/>
      <c r="D5" s="17"/>
    </row>
    <row r="6" customFormat="false" ht="30" hidden="false" customHeight="true" outlineLevel="0" collapsed="false">
      <c r="A6" s="39" t="s">
        <v>411</v>
      </c>
      <c r="B6" s="47" t="s">
        <v>412</v>
      </c>
      <c r="C6" s="22"/>
      <c r="D6" s="17"/>
    </row>
    <row r="7" customFormat="false" ht="30" hidden="false" customHeight="true" outlineLevel="0" collapsed="false">
      <c r="A7" s="39" t="s">
        <v>413</v>
      </c>
      <c r="B7" s="47" t="s">
        <v>414</v>
      </c>
      <c r="C7" s="22"/>
      <c r="D7" s="17"/>
    </row>
    <row r="8" customFormat="false" ht="30" hidden="false" customHeight="true" outlineLevel="0" collapsed="false">
      <c r="A8" s="39" t="s">
        <v>415</v>
      </c>
      <c r="B8" s="47" t="s">
        <v>416</v>
      </c>
      <c r="C8" s="22"/>
      <c r="D8" s="17"/>
    </row>
    <row r="10" customFormat="false" ht="15" hidden="false" customHeight="true" outlineLevel="0" collapsed="false">
      <c r="A10" s="36" t="s">
        <v>417</v>
      </c>
      <c r="B10" s="36"/>
      <c r="C10" s="38" t="n">
        <f aca="false">IFERROR(SUM(C5:C6),0)</f>
        <v>0</v>
      </c>
    </row>
    <row r="11" customFormat="false" ht="15" hidden="false" customHeight="true" outlineLevel="0" collapsed="false">
      <c r="A11" s="36" t="s">
        <v>418</v>
      </c>
      <c r="B11" s="36"/>
      <c r="C11" s="38" t="n">
        <f aca="false">IFERROR(SUM(C7:C8),0)</f>
        <v>0</v>
      </c>
    </row>
    <row r="12" customFormat="false" ht="15" hidden="false" customHeight="true" outlineLevel="0" collapsed="false">
      <c r="A12" s="36" t="s">
        <v>419</v>
      </c>
      <c r="B12" s="36"/>
      <c r="C12" s="38" t="n">
        <f aca="false">IFERROR(C10+C11,0)</f>
        <v>0</v>
      </c>
    </row>
    <row r="13" customFormat="false" ht="39" hidden="false" customHeight="true" outlineLevel="0" collapsed="false">
      <c r="A13" s="36" t="s">
        <v>420</v>
      </c>
      <c r="B13" s="36"/>
      <c r="C13" s="54" t="n">
        <f aca="false">IFERROR(C12/C12,0)</f>
        <v>0</v>
      </c>
      <c r="D13" s="19" t="s">
        <v>421</v>
      </c>
    </row>
  </sheetData>
  <mergeCells count="6">
    <mergeCell ref="A1:D1"/>
    <mergeCell ref="A2:D2"/>
    <mergeCell ref="A10:B10"/>
    <mergeCell ref="A11:B11"/>
    <mergeCell ref="A12:B12"/>
    <mergeCell ref="A13:B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4" min="3" style="1" width="16"/>
    <col collapsed="false" customWidth="true" hidden="false" outlineLevel="0" max="5" min="5" style="1" width="26"/>
  </cols>
  <sheetData>
    <row r="1" customFormat="false" ht="23.25" hidden="false" customHeight="true" outlineLevel="0" collapsed="false">
      <c r="A1" s="2" t="s">
        <v>422</v>
      </c>
      <c r="B1" s="2"/>
      <c r="C1" s="2"/>
      <c r="D1" s="2"/>
      <c r="E1" s="2"/>
    </row>
    <row r="2" customFormat="false" ht="26.25" hidden="false" customHeight="true" outlineLevel="0" collapsed="false">
      <c r="A2" s="25" t="s">
        <v>423</v>
      </c>
      <c r="B2" s="25"/>
      <c r="C2" s="25"/>
      <c r="D2" s="25"/>
      <c r="E2" s="25"/>
    </row>
    <row r="4" customFormat="false" ht="15" hidden="false" customHeight="true" outlineLevel="0" collapsed="false">
      <c r="A4" s="18" t="s">
        <v>424</v>
      </c>
      <c r="B4" s="18"/>
      <c r="C4" s="18"/>
      <c r="D4" s="18"/>
      <c r="E4" s="18"/>
    </row>
    <row r="5" customFormat="false" ht="16.5" hidden="false" customHeight="true" outlineLevel="0" collapsed="false">
      <c r="A5" s="46" t="s">
        <v>425</v>
      </c>
      <c r="B5" s="20" t="s">
        <v>426</v>
      </c>
      <c r="C5" s="20" t="s">
        <v>427</v>
      </c>
      <c r="D5" s="20" t="s">
        <v>428</v>
      </c>
      <c r="E5" s="46" t="s">
        <v>429</v>
      </c>
    </row>
    <row r="6" customFormat="false" ht="15" hidden="false" customHeight="true" outlineLevel="0" collapsed="false">
      <c r="A6" s="17"/>
      <c r="B6" s="22"/>
      <c r="C6" s="22"/>
      <c r="D6" s="22"/>
      <c r="E6" s="22"/>
    </row>
    <row r="7" customFormat="false" ht="15" hidden="false" customHeight="true" outlineLevel="0" collapsed="false">
      <c r="A7" s="17"/>
      <c r="B7" s="22"/>
      <c r="C7" s="22"/>
      <c r="D7" s="22"/>
      <c r="E7" s="22"/>
    </row>
    <row r="8" customFormat="false" ht="15" hidden="false" customHeight="true" outlineLevel="0" collapsed="false">
      <c r="A8" s="17"/>
      <c r="B8" s="22"/>
      <c r="C8" s="22"/>
      <c r="D8" s="22"/>
      <c r="E8" s="22"/>
    </row>
    <row r="9" customFormat="false" ht="15" hidden="false" customHeight="true" outlineLevel="0" collapsed="false">
      <c r="A9" s="17"/>
      <c r="B9" s="22"/>
      <c r="C9" s="22"/>
      <c r="D9" s="22"/>
      <c r="E9" s="22"/>
    </row>
    <row r="10" customFormat="false" ht="15" hidden="false" customHeight="true" outlineLevel="0" collapsed="false">
      <c r="A10" s="17"/>
      <c r="B10" s="22"/>
      <c r="C10" s="22"/>
      <c r="D10" s="22"/>
      <c r="E10" s="22"/>
    </row>
    <row r="11" customFormat="false" ht="15" hidden="false" customHeight="true" outlineLevel="0" collapsed="false">
      <c r="A11" s="17"/>
      <c r="B11" s="22"/>
      <c r="C11" s="22"/>
      <c r="D11" s="22"/>
      <c r="E11" s="22"/>
    </row>
    <row r="13" customFormat="false" ht="15" hidden="false" customHeight="true" outlineLevel="0" collapsed="false">
      <c r="A13" s="18" t="s">
        <v>430</v>
      </c>
      <c r="B13" s="18"/>
      <c r="C13" s="18"/>
      <c r="D13" s="18"/>
      <c r="E13" s="18"/>
    </row>
    <row r="14" customFormat="false" ht="15" hidden="false" customHeight="true" outlineLevel="0" collapsed="false">
      <c r="A14" s="55" t="s">
        <v>431</v>
      </c>
      <c r="B14" s="47" t="s">
        <v>432</v>
      </c>
      <c r="C14" s="47"/>
      <c r="D14" s="47"/>
      <c r="E14" s="47"/>
    </row>
    <row r="15" customFormat="false" ht="15" hidden="false" customHeight="true" outlineLevel="0" collapsed="false">
      <c r="A15" s="55" t="s">
        <v>433</v>
      </c>
      <c r="B15" s="47" t="s">
        <v>434</v>
      </c>
      <c r="C15" s="47"/>
      <c r="D15" s="47"/>
      <c r="E15" s="47"/>
    </row>
    <row r="16" customFormat="false" ht="15" hidden="false" customHeight="true" outlineLevel="0" collapsed="false">
      <c r="A16" s="55" t="s">
        <v>435</v>
      </c>
      <c r="B16" s="47" t="s">
        <v>436</v>
      </c>
      <c r="C16" s="47"/>
      <c r="D16" s="47"/>
      <c r="E16" s="47"/>
    </row>
    <row r="17" customFormat="false" ht="15" hidden="false" customHeight="true" outlineLevel="0" collapsed="false">
      <c r="A17" s="55" t="s">
        <v>437</v>
      </c>
      <c r="B17" s="47" t="s">
        <v>438</v>
      </c>
      <c r="C17" s="47"/>
      <c r="D17" s="47"/>
      <c r="E17" s="47"/>
    </row>
    <row r="18" customFormat="false" ht="15" hidden="false" customHeight="true" outlineLevel="0" collapsed="false">
      <c r="A18" s="55" t="s">
        <v>439</v>
      </c>
      <c r="B18" s="47" t="s">
        <v>440</v>
      </c>
      <c r="C18" s="47"/>
      <c r="D18" s="47"/>
      <c r="E18" s="47"/>
    </row>
    <row r="20" customFormat="false" ht="15" hidden="false" customHeight="true" outlineLevel="0" collapsed="false">
      <c r="A20" s="23" t="s">
        <v>441</v>
      </c>
      <c r="B20" s="23"/>
      <c r="C20" s="23"/>
      <c r="D20" s="23"/>
      <c r="E20" s="23"/>
    </row>
    <row r="21" customFormat="false" ht="16.5" hidden="false" customHeight="true" outlineLevel="0" collapsed="false">
      <c r="A21" s="20" t="s">
        <v>381</v>
      </c>
      <c r="B21" s="20" t="s">
        <v>442</v>
      </c>
      <c r="C21" s="20" t="s">
        <v>443</v>
      </c>
      <c r="D21" s="20"/>
      <c r="E21" s="20" t="s">
        <v>444</v>
      </c>
    </row>
    <row r="22" customFormat="false" ht="15" hidden="false" customHeight="true" outlineLevel="0" collapsed="false">
      <c r="A22" s="15" t="s">
        <v>445</v>
      </c>
      <c r="B22" s="22"/>
      <c r="C22" s="19"/>
    </row>
    <row r="23" customFormat="false" ht="15" hidden="false" customHeight="true" outlineLevel="0" collapsed="false">
      <c r="A23" s="15" t="s">
        <v>446</v>
      </c>
      <c r="B23" s="22"/>
    </row>
    <row r="24" customFormat="false" ht="15" hidden="false" customHeight="true" outlineLevel="0" collapsed="false">
      <c r="A24" s="55" t="s">
        <v>447</v>
      </c>
      <c r="B24" s="56" t="str">
        <f aca="false">IFERROR(B22/B23,"")</f>
        <v/>
      </c>
      <c r="C24" s="57" t="s">
        <v>448</v>
      </c>
      <c r="D24" s="57"/>
      <c r="E24" s="50" t="str">
        <f aca="false">IF(B24="","",IF(B24&gt;=1,"妥当（1以上）","要検討（1未満）"))</f>
        <v/>
      </c>
    </row>
    <row r="25" customFormat="false" ht="15" hidden="false" customHeight="true" outlineLevel="0" collapsed="false">
      <c r="A25" s="55" t="s">
        <v>449</v>
      </c>
      <c r="B25" s="58" t="str">
        <f aca="false">IFERROR((B22-B23)/B23,"")</f>
        <v/>
      </c>
      <c r="C25" s="57" t="s">
        <v>450</v>
      </c>
      <c r="D25" s="57"/>
      <c r="E25" s="50" t="str">
        <f aca="false">IF(B25="","",IF(B25&gt;0,"投資効率プラス","投資効率マイナス"))</f>
        <v/>
      </c>
    </row>
    <row r="27" customFormat="false" ht="15" hidden="false" customHeight="true" outlineLevel="0" collapsed="false">
      <c r="A27" s="18" t="s">
        <v>451</v>
      </c>
      <c r="B27" s="18"/>
      <c r="C27" s="18"/>
      <c r="D27" s="18"/>
      <c r="E27" s="18"/>
    </row>
    <row r="28" customFormat="false" ht="16.5" hidden="false" customHeight="true" outlineLevel="0" collapsed="false">
      <c r="A28" s="20" t="s">
        <v>381</v>
      </c>
      <c r="B28" s="20" t="s">
        <v>442</v>
      </c>
      <c r="C28" s="20" t="s">
        <v>443</v>
      </c>
      <c r="D28" s="20"/>
      <c r="E28" s="20"/>
    </row>
    <row r="29" customFormat="false" ht="15" hidden="false" customHeight="true" outlineLevel="0" collapsed="false">
      <c r="A29" s="15" t="s">
        <v>452</v>
      </c>
      <c r="B29" s="22"/>
    </row>
    <row r="30" customFormat="false" ht="15" hidden="false" customHeight="true" outlineLevel="0" collapsed="false">
      <c r="A30" s="15" t="s">
        <v>453</v>
      </c>
      <c r="B30" s="22"/>
    </row>
    <row r="31" customFormat="false" ht="15" hidden="false" customHeight="true" outlineLevel="0" collapsed="false">
      <c r="A31" s="15" t="s">
        <v>454</v>
      </c>
      <c r="B31" s="59"/>
    </row>
    <row r="32" customFormat="false" ht="15" hidden="false" customHeight="true" outlineLevel="0" collapsed="false">
      <c r="A32" s="15" t="s">
        <v>455</v>
      </c>
      <c r="B32" s="22"/>
    </row>
    <row r="33" customFormat="false" ht="15" hidden="false" customHeight="true" outlineLevel="0" collapsed="false">
      <c r="A33" s="15" t="s">
        <v>456</v>
      </c>
      <c r="B33" s="60" t="n">
        <f aca="false">IFERROR(B29/(1+B31)^B30,"")</f>
        <v>0</v>
      </c>
      <c r="C33" s="57" t="s">
        <v>457</v>
      </c>
      <c r="D33" s="57"/>
      <c r="E33" s="57"/>
    </row>
    <row r="34" customFormat="false" ht="15" hidden="false" customHeight="true" outlineLevel="0" collapsed="false">
      <c r="A34" s="55" t="s">
        <v>458</v>
      </c>
      <c r="B34" s="61" t="n">
        <f aca="false">IFERROR(B33-B32,"")</f>
        <v>0</v>
      </c>
      <c r="C34" s="57" t="s">
        <v>459</v>
      </c>
      <c r="D34" s="57"/>
      <c r="E34" s="57"/>
    </row>
  </sheetData>
  <mergeCells count="15">
    <mergeCell ref="A1:E1"/>
    <mergeCell ref="A2:E2"/>
    <mergeCell ref="A4:E4"/>
    <mergeCell ref="A13:E13"/>
    <mergeCell ref="B14:E14"/>
    <mergeCell ref="B15:E15"/>
    <mergeCell ref="B16:E16"/>
    <mergeCell ref="B17:E17"/>
    <mergeCell ref="B18:E18"/>
    <mergeCell ref="A20:E20"/>
    <mergeCell ref="C24:D24"/>
    <mergeCell ref="C25:D25"/>
    <mergeCell ref="A27:E27"/>
    <mergeCell ref="C33:E33"/>
    <mergeCell ref="C34:E34"/>
  </mergeCells>
  <dataValidations count="2">
    <dataValidation allowBlank="true" errorStyle="stop" operator="between" showDropDown="false" showErrorMessage="false" showInputMessage="false" sqref="B6:B11" type="list">
      <formula1>"先行指標,遅行指標"</formula1>
      <formula2>0</formula2>
    </dataValidation>
    <dataValidation allowBlank="true" errorStyle="stop" operator="between" showDropDown="false" showErrorMessage="false" showInputMessage="false" sqref="E6:E11" type="list">
      <formula1>"満たす,一部満たす,満たさない"</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34"/>
    <col collapsed="false" customWidth="true" hidden="false" outlineLevel="0" max="3" min="3" style="1" width="22"/>
    <col collapsed="false" customWidth="true" hidden="false" outlineLevel="0" max="4" min="4" style="1" width="24"/>
  </cols>
  <sheetData>
    <row r="1" customFormat="false" ht="19.5" hidden="false" customHeight="true" outlineLevel="0" collapsed="false">
      <c r="A1" s="2" t="s">
        <v>460</v>
      </c>
      <c r="B1" s="2"/>
      <c r="C1" s="2"/>
      <c r="D1" s="2"/>
    </row>
    <row r="2" customFormat="false" ht="26.25" hidden="false" customHeight="true" outlineLevel="0" collapsed="false">
      <c r="A2" s="25" t="s">
        <v>461</v>
      </c>
      <c r="B2" s="25"/>
      <c r="C2" s="25"/>
      <c r="D2" s="25"/>
    </row>
    <row r="4" customFormat="false" ht="16.5" hidden="false" customHeight="true" outlineLevel="0" collapsed="false">
      <c r="A4" s="20" t="s">
        <v>272</v>
      </c>
      <c r="B4" s="20" t="s">
        <v>462</v>
      </c>
      <c r="C4" s="20" t="s">
        <v>463</v>
      </c>
      <c r="D4" s="20" t="s">
        <v>464</v>
      </c>
    </row>
    <row r="5" customFormat="false" ht="31.5" hidden="false" customHeight="true" outlineLevel="0" collapsed="false">
      <c r="A5" s="39" t="s">
        <v>465</v>
      </c>
      <c r="B5" s="17"/>
      <c r="C5" s="17"/>
      <c r="D5" s="17"/>
    </row>
    <row r="6" customFormat="false" ht="31.5" hidden="false" customHeight="true" outlineLevel="0" collapsed="false">
      <c r="A6" s="39" t="s">
        <v>466</v>
      </c>
      <c r="B6" s="17"/>
      <c r="C6" s="17"/>
      <c r="D6" s="17"/>
    </row>
    <row r="7" customFormat="false" ht="31.5" hidden="false" customHeight="true" outlineLevel="0" collapsed="false">
      <c r="A7" s="39" t="s">
        <v>467</v>
      </c>
      <c r="B7" s="17"/>
      <c r="C7" s="17"/>
      <c r="D7" s="17"/>
    </row>
    <row r="8" customFormat="false" ht="31.5" hidden="false" customHeight="true" outlineLevel="0" collapsed="false">
      <c r="A8" s="39" t="s">
        <v>468</v>
      </c>
      <c r="B8" s="17"/>
      <c r="C8" s="17"/>
      <c r="D8" s="17"/>
    </row>
    <row r="9" customFormat="false" ht="31.5" hidden="false" customHeight="true" outlineLevel="0" collapsed="false">
      <c r="A9" s="39" t="s">
        <v>469</v>
      </c>
      <c r="B9" s="17"/>
      <c r="C9" s="17"/>
      <c r="D9" s="17"/>
    </row>
    <row r="10" customFormat="false" ht="31.5" hidden="false" customHeight="true" outlineLevel="0" collapsed="false">
      <c r="A10" s="39" t="s">
        <v>470</v>
      </c>
      <c r="B10" s="17"/>
      <c r="C10" s="17"/>
      <c r="D10" s="17"/>
    </row>
    <row r="12" customFormat="false" ht="79.5" hidden="false" customHeight="true" outlineLevel="0" collapsed="false">
      <c r="A12" s="25" t="s">
        <v>471</v>
      </c>
      <c r="B12" s="25"/>
      <c r="C12" s="25"/>
      <c r="D12" s="25"/>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2026-07-24T09:09:03Z</dcterms:created>
  <dc:creator>openpyxl</dc:creator>
  <dc:description/>
  <dc:language>en-US</dc:language>
  <cp:lastModifiedBy/>
  <dcterms:modified xsi:type="dcterms:W3CDTF">2026-07-27T10:14:28Z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